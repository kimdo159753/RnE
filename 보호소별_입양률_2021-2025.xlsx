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호소별" sheetId="1" state="visible" r:id="rId1"/>
    <sheet name="시도별" sheetId="2" state="visible" r:id="rId2"/>
    <sheet name="설명" sheetId="3" state="visible" r:id="rId3"/>
  </sheets>
  <definedNames>
    <definedName name="_xlnm._FilterDatabase" localSheetId="0" hidden="1">'보호소별'!$A$1:$P$454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  <xf numFmtId="0" fontId="2" fillId="2" borderId="0" pivotButton="0" quotePrefix="0" xfId="0"/>
    <xf numFmtId="3" fontId="2" fillId="2" borderId="0" pivotButton="0" quotePrefix="0" xfId="0"/>
    <xf numFmtId="164" fontId="2" fillId="2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26" customWidth="1" min="4" max="4"/>
    <col width="18" customWidth="1" min="5" max="5"/>
    <col width="16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</cols>
  <sheetData>
    <row r="1" ht="32" customHeight="1">
      <c r="A1" s="1" t="inlineStr">
        <is>
          <t>순위</t>
        </is>
      </c>
      <c r="B1" s="1" t="inlineStr">
        <is>
          <t>시도</t>
        </is>
      </c>
      <c r="C1" s="1" t="inlineStr">
        <is>
          <t>관할 기관</t>
        </is>
      </c>
      <c r="D1" s="1" t="inlineStr">
        <is>
          <t>보호소</t>
        </is>
      </c>
      <c r="E1" s="1" t="inlineStr">
        <is>
          <t>등록번호</t>
        </is>
      </c>
      <c r="F1" s="1" t="inlineStr">
        <is>
          <t>보호 종료(입양+안락사+자연사+기증)</t>
        </is>
      </c>
      <c r="G1" s="1" t="inlineStr">
        <is>
          <t>입양</t>
        </is>
      </c>
      <c r="H1" s="1" t="inlineStr">
        <is>
          <t>안락사</t>
        </is>
      </c>
      <c r="I1" s="1" t="inlineStr">
        <is>
          <t>자연사</t>
        </is>
      </c>
      <c r="J1" s="1" t="inlineStr">
        <is>
          <t>기증</t>
        </is>
      </c>
      <c r="K1" s="1" t="inlineStr">
        <is>
          <t>입양률</t>
        </is>
      </c>
      <c r="L1" s="1" t="inlineStr">
        <is>
          <t>안락사 비율</t>
        </is>
      </c>
      <c r="M1" s="1" t="inlineStr">
        <is>
          <t>자연사 비율</t>
        </is>
      </c>
      <c r="N1" s="1" t="inlineStr">
        <is>
          <t>반환(참고)</t>
        </is>
      </c>
      <c r="O1" s="1" t="inlineStr">
        <is>
          <t>보호중(참고)</t>
        </is>
      </c>
      <c r="P1" s="1" t="inlineStr">
        <is>
          <t>비고</t>
        </is>
      </c>
    </row>
    <row r="2">
      <c r="A2" s="2">
        <f>RANK(K2,$K$2:$K$454)</f>
        <v/>
      </c>
      <c r="B2" s="2" t="inlineStr">
        <is>
          <t>서울특별시</t>
        </is>
      </c>
      <c r="C2" s="2" t="inlineStr">
        <is>
          <t>서울특별시 서초구</t>
        </is>
      </c>
      <c r="D2" s="2" t="inlineStr">
        <is>
          <t>서초동물사랑센터</t>
        </is>
      </c>
      <c r="E2" s="2" t="inlineStr">
        <is>
          <t>311321201800002</t>
        </is>
      </c>
      <c r="F2" s="3">
        <f>SUM(G2:J2)</f>
        <v/>
      </c>
      <c r="G2" s="3" t="n">
        <v>78</v>
      </c>
      <c r="H2" s="3" t="n">
        <v>0</v>
      </c>
      <c r="I2" s="3" t="n">
        <v>0</v>
      </c>
      <c r="J2" s="3" t="n">
        <v>0</v>
      </c>
      <c r="K2" s="4">
        <f>G2/F2</f>
        <v/>
      </c>
      <c r="L2" s="4">
        <f>H2/F2</f>
        <v/>
      </c>
      <c r="M2" s="4">
        <f>I2/F2</f>
        <v/>
      </c>
      <c r="N2" s="3" t="n">
        <v>36</v>
      </c>
      <c r="O2" s="3" t="n">
        <v>2</v>
      </c>
      <c r="P2" s="2">
        <f>IF(F2&lt;100,"종료 100마리 미만","")</f>
        <v/>
      </c>
    </row>
    <row r="3">
      <c r="A3" s="2">
        <f>RANK(K3,$K$2:$K$454)</f>
        <v/>
      </c>
      <c r="B3" s="2" t="inlineStr">
        <is>
          <t>서울특별시</t>
        </is>
      </c>
      <c r="C3" s="2" t="inlineStr">
        <is>
          <t>서울특별시 용산구</t>
        </is>
      </c>
      <c r="D3" s="2" t="inlineStr">
        <is>
          <t>열린동물병원</t>
        </is>
      </c>
      <c r="E3" s="2" t="inlineStr">
        <is>
          <t>311302201000006</t>
        </is>
      </c>
      <c r="F3" s="3">
        <f>SUM(G3:J3)</f>
        <v/>
      </c>
      <c r="G3" s="3" t="n">
        <v>18</v>
      </c>
      <c r="H3" s="3" t="n">
        <v>0</v>
      </c>
      <c r="I3" s="3" t="n">
        <v>0</v>
      </c>
      <c r="J3" s="3" t="n">
        <v>0</v>
      </c>
      <c r="K3" s="4">
        <f>G3/F3</f>
        <v/>
      </c>
      <c r="L3" s="4">
        <f>H3/F3</f>
        <v/>
      </c>
      <c r="M3" s="4">
        <f>I3/F3</f>
        <v/>
      </c>
      <c r="N3" s="3" t="n">
        <v>52</v>
      </c>
      <c r="O3" s="3" t="n">
        <v>0</v>
      </c>
      <c r="P3" s="2">
        <f>IF(F3&lt;100,"종료 100마리 미만","")</f>
        <v/>
      </c>
    </row>
    <row r="4">
      <c r="A4" s="2">
        <f>RANK(K4,$K$2:$K$454)</f>
        <v/>
      </c>
      <c r="B4" s="2" t="inlineStr">
        <is>
          <t>서울특별시</t>
        </is>
      </c>
      <c r="C4" s="2" t="inlineStr">
        <is>
          <t>서울특별시 마포구</t>
        </is>
      </c>
      <c r="D4" s="2" t="inlineStr">
        <is>
          <t>웰케어 동물병원</t>
        </is>
      </c>
      <c r="E4" s="2" t="inlineStr">
        <is>
          <t>311313201300003</t>
        </is>
      </c>
      <c r="F4" s="3">
        <f>SUM(G4:J4)</f>
        <v/>
      </c>
      <c r="G4" s="3" t="n">
        <v>13</v>
      </c>
      <c r="H4" s="3" t="n">
        <v>0</v>
      </c>
      <c r="I4" s="3" t="n">
        <v>0</v>
      </c>
      <c r="J4" s="3" t="n">
        <v>0</v>
      </c>
      <c r="K4" s="4">
        <f>G4/F4</f>
        <v/>
      </c>
      <c r="L4" s="4">
        <f>H4/F4</f>
        <v/>
      </c>
      <c r="M4" s="4">
        <f>I4/F4</f>
        <v/>
      </c>
      <c r="N4" s="3" t="n">
        <v>18</v>
      </c>
      <c r="O4" s="3" t="n">
        <v>0</v>
      </c>
      <c r="P4" s="2">
        <f>IF(F4&lt;100,"종료 100마리 미만","")</f>
        <v/>
      </c>
    </row>
    <row r="5">
      <c r="A5" s="2">
        <f>RANK(K5,$K$2:$K$454)</f>
        <v/>
      </c>
      <c r="B5" s="2" t="inlineStr">
        <is>
          <t>경상북도</t>
        </is>
      </c>
      <c r="C5" s="2" t="inlineStr">
        <is>
          <t>경상북도 영덕군</t>
        </is>
      </c>
      <c r="D5" s="2" t="inlineStr">
        <is>
          <t>영덕반려동물입양센터</t>
        </is>
      </c>
      <c r="E5" s="2" t="inlineStr">
        <is>
          <t>347518202500001</t>
        </is>
      </c>
      <c r="F5" s="3">
        <f>SUM(G5:J5)</f>
        <v/>
      </c>
      <c r="G5" s="3" t="n">
        <v>11</v>
      </c>
      <c r="H5" s="3" t="n">
        <v>0</v>
      </c>
      <c r="I5" s="3" t="n">
        <v>0</v>
      </c>
      <c r="J5" s="3" t="n">
        <v>0</v>
      </c>
      <c r="K5" s="4">
        <f>G5/F5</f>
        <v/>
      </c>
      <c r="L5" s="4">
        <f>H5/F5</f>
        <v/>
      </c>
      <c r="M5" s="4">
        <f>I5/F5</f>
        <v/>
      </c>
      <c r="N5" s="3" t="n">
        <v>0</v>
      </c>
      <c r="O5" s="3" t="n">
        <v>1</v>
      </c>
      <c r="P5" s="2">
        <f>IF(F5&lt;100,"종료 100마리 미만","")</f>
        <v/>
      </c>
    </row>
    <row r="6">
      <c r="A6" s="2">
        <f>RANK(K6,$K$2:$K$454)</f>
        <v/>
      </c>
      <c r="B6" s="2" t="inlineStr">
        <is>
          <t>서울특별시</t>
        </is>
      </c>
      <c r="C6" s="2" t="inlineStr">
        <is>
          <t>서울특별시 용산구</t>
        </is>
      </c>
      <c r="D6" s="2" t="inlineStr">
        <is>
          <t>이태원동물병원</t>
        </is>
      </c>
      <c r="E6" s="2" t="inlineStr">
        <is>
          <t>311302201000005</t>
        </is>
      </c>
      <c r="F6" s="3">
        <f>SUM(G6:J6)</f>
        <v/>
      </c>
      <c r="G6" s="3" t="n">
        <v>9</v>
      </c>
      <c r="H6" s="3" t="n">
        <v>0</v>
      </c>
      <c r="I6" s="3" t="n">
        <v>0</v>
      </c>
      <c r="J6" s="3" t="n">
        <v>0</v>
      </c>
      <c r="K6" s="4">
        <f>G6/F6</f>
        <v/>
      </c>
      <c r="L6" s="4">
        <f>H6/F6</f>
        <v/>
      </c>
      <c r="M6" s="4">
        <f>I6/F6</f>
        <v/>
      </c>
      <c r="N6" s="3" t="n">
        <v>30</v>
      </c>
      <c r="O6" s="3" t="n">
        <v>0</v>
      </c>
      <c r="P6" s="2">
        <f>IF(F6&lt;100,"종료 100마리 미만","")</f>
        <v/>
      </c>
    </row>
    <row r="7">
      <c r="A7" s="2">
        <f>RANK(K7,$K$2:$K$454)</f>
        <v/>
      </c>
      <c r="B7" s="2" t="inlineStr">
        <is>
          <t>울산광역시</t>
        </is>
      </c>
      <c r="C7" s="2" t="inlineStr">
        <is>
          <t>울산광역시 울주군</t>
        </is>
      </c>
      <c r="D7" s="2" t="inlineStr">
        <is>
          <t>MK동물병원</t>
        </is>
      </c>
      <c r="E7" s="2" t="inlineStr">
        <is>
          <t>331373201600008</t>
        </is>
      </c>
      <c r="F7" s="3">
        <f>SUM(G7:J7)</f>
        <v/>
      </c>
      <c r="G7" s="3" t="n">
        <v>7</v>
      </c>
      <c r="H7" s="3" t="n">
        <v>0</v>
      </c>
      <c r="I7" s="3" t="n">
        <v>0</v>
      </c>
      <c r="J7" s="3" t="n">
        <v>0</v>
      </c>
      <c r="K7" s="4">
        <f>G7/F7</f>
        <v/>
      </c>
      <c r="L7" s="4">
        <f>H7/F7</f>
        <v/>
      </c>
      <c r="M7" s="4">
        <f>I7/F7</f>
        <v/>
      </c>
      <c r="N7" s="3" t="n">
        <v>2</v>
      </c>
      <c r="O7" s="3" t="n">
        <v>0</v>
      </c>
      <c r="P7" s="2">
        <f>IF(F7&lt;100,"종료 100마리 미만","")</f>
        <v/>
      </c>
    </row>
    <row r="8">
      <c r="A8" s="2">
        <f>RANK(K8,$K$2:$K$454)</f>
        <v/>
      </c>
      <c r="B8" s="2" t="inlineStr">
        <is>
          <t>울산광역시</t>
        </is>
      </c>
      <c r="C8" s="2" t="inlineStr">
        <is>
          <t>울산광역시 북구</t>
        </is>
      </c>
      <c r="D8" s="2" t="inlineStr">
        <is>
          <t>쿨펫 홈플러스 북구점</t>
        </is>
      </c>
      <c r="E8" s="2" t="inlineStr">
        <is>
          <t>331372202000002</t>
        </is>
      </c>
      <c r="F8" s="3">
        <f>SUM(G8:J8)</f>
        <v/>
      </c>
      <c r="G8" s="3" t="n">
        <v>6</v>
      </c>
      <c r="H8" s="3" t="n">
        <v>0</v>
      </c>
      <c r="I8" s="3" t="n">
        <v>0</v>
      </c>
      <c r="J8" s="3" t="n">
        <v>0</v>
      </c>
      <c r="K8" s="4">
        <f>G8/F8</f>
        <v/>
      </c>
      <c r="L8" s="4">
        <f>H8/F8</f>
        <v/>
      </c>
      <c r="M8" s="4">
        <f>I8/F8</f>
        <v/>
      </c>
      <c r="N8" s="3" t="n">
        <v>1</v>
      </c>
      <c r="O8" s="3" t="n">
        <v>1</v>
      </c>
      <c r="P8" s="2">
        <f>IF(F8&lt;100,"종료 100마리 미만","")</f>
        <v/>
      </c>
    </row>
    <row r="9">
      <c r="A9" s="2">
        <f>RANK(K9,$K$2:$K$454)</f>
        <v/>
      </c>
      <c r="B9" s="2" t="inlineStr">
        <is>
          <t>대구광역시</t>
        </is>
      </c>
      <c r="C9" s="2" t="inlineStr">
        <is>
          <t>대구광역시 수성구</t>
        </is>
      </c>
      <c r="D9" s="2" t="inlineStr">
        <is>
          <t>감자동물병원</t>
        </is>
      </c>
      <c r="E9" s="2" t="inlineStr">
        <is>
          <t>327346202100001</t>
        </is>
      </c>
      <c r="F9" s="3">
        <f>SUM(G9:J9)</f>
        <v/>
      </c>
      <c r="G9" s="3" t="n">
        <v>5</v>
      </c>
      <c r="H9" s="3" t="n">
        <v>0</v>
      </c>
      <c r="I9" s="3" t="n">
        <v>0</v>
      </c>
      <c r="J9" s="3" t="n">
        <v>0</v>
      </c>
      <c r="K9" s="4">
        <f>G9/F9</f>
        <v/>
      </c>
      <c r="L9" s="4">
        <f>H9/F9</f>
        <v/>
      </c>
      <c r="M9" s="4">
        <f>I9/F9</f>
        <v/>
      </c>
      <c r="N9" s="3" t="n">
        <v>2</v>
      </c>
      <c r="O9" s="3" t="n">
        <v>0</v>
      </c>
      <c r="P9" s="2">
        <f>IF(F9&lt;100,"종료 100마리 미만","")</f>
        <v/>
      </c>
    </row>
    <row r="10">
      <c r="A10" s="2">
        <f>RANK(K10,$K$2:$K$454)</f>
        <v/>
      </c>
      <c r="B10" s="2" t="inlineStr">
        <is>
          <t>울산광역시</t>
        </is>
      </c>
      <c r="C10" s="2" t="inlineStr">
        <is>
          <t>울산광역시 울주군</t>
        </is>
      </c>
      <c r="D10" s="2" t="inlineStr">
        <is>
          <t>범서조은동물병원</t>
        </is>
      </c>
      <c r="E10" s="2" t="inlineStr">
        <is>
          <t>331373201600001</t>
        </is>
      </c>
      <c r="F10" s="3">
        <f>SUM(G10:J10)</f>
        <v/>
      </c>
      <c r="G10" s="3" t="n">
        <v>5</v>
      </c>
      <c r="H10" s="3" t="n">
        <v>0</v>
      </c>
      <c r="I10" s="3" t="n">
        <v>0</v>
      </c>
      <c r="J10" s="3" t="n">
        <v>0</v>
      </c>
      <c r="K10" s="4">
        <f>G10/F10</f>
        <v/>
      </c>
      <c r="L10" s="4">
        <f>H10/F10</f>
        <v/>
      </c>
      <c r="M10" s="4">
        <f>I10/F10</f>
        <v/>
      </c>
      <c r="N10" s="3" t="n">
        <v>1</v>
      </c>
      <c r="O10" s="3" t="n">
        <v>0</v>
      </c>
      <c r="P10" s="2">
        <f>IF(F10&lt;100,"종료 100마리 미만","")</f>
        <v/>
      </c>
    </row>
    <row r="11">
      <c r="A11" s="2">
        <f>RANK(K11,$K$2:$K$454)</f>
        <v/>
      </c>
      <c r="B11" s="2" t="inlineStr">
        <is>
          <t>서울특별시</t>
        </is>
      </c>
      <c r="C11" s="2" t="inlineStr">
        <is>
          <t>서울특별시 용산구</t>
        </is>
      </c>
      <c r="D11" s="2" t="inlineStr">
        <is>
          <t>펫토이동물병원</t>
        </is>
      </c>
      <c r="E11" s="2" t="inlineStr">
        <is>
          <t>311302201000012</t>
        </is>
      </c>
      <c r="F11" s="3">
        <f>SUM(G11:J11)</f>
        <v/>
      </c>
      <c r="G11" s="3" t="n">
        <v>4</v>
      </c>
      <c r="H11" s="3" t="n">
        <v>0</v>
      </c>
      <c r="I11" s="3" t="n">
        <v>0</v>
      </c>
      <c r="J11" s="3" t="n">
        <v>0</v>
      </c>
      <c r="K11" s="4">
        <f>G11/F11</f>
        <v/>
      </c>
      <c r="L11" s="4">
        <f>H11/F11</f>
        <v/>
      </c>
      <c r="M11" s="4">
        <f>I11/F11</f>
        <v/>
      </c>
      <c r="N11" s="3" t="n">
        <v>21</v>
      </c>
      <c r="O11" s="3" t="n">
        <v>1</v>
      </c>
      <c r="P11" s="2">
        <f>IF(F11&lt;100,"종료 100마리 미만","")</f>
        <v/>
      </c>
    </row>
    <row r="12">
      <c r="A12" s="2">
        <f>RANK(K12,$K$2:$K$454)</f>
        <v/>
      </c>
      <c r="B12" s="2" t="inlineStr">
        <is>
          <t>서울특별시</t>
        </is>
      </c>
      <c r="C12" s="2" t="inlineStr">
        <is>
          <t>서울특별시 용산구</t>
        </is>
      </c>
      <c r="D12" s="2" t="inlineStr">
        <is>
          <t>이상윤동물병원</t>
        </is>
      </c>
      <c r="E12" s="2" t="inlineStr">
        <is>
          <t>311302201000014</t>
        </is>
      </c>
      <c r="F12" s="3">
        <f>SUM(G12:J12)</f>
        <v/>
      </c>
      <c r="G12" s="3" t="n">
        <v>4</v>
      </c>
      <c r="H12" s="3" t="n">
        <v>0</v>
      </c>
      <c r="I12" s="3" t="n">
        <v>0</v>
      </c>
      <c r="J12" s="3" t="n">
        <v>0</v>
      </c>
      <c r="K12" s="4">
        <f>G12/F12</f>
        <v/>
      </c>
      <c r="L12" s="4">
        <f>H12/F12</f>
        <v/>
      </c>
      <c r="M12" s="4">
        <f>I12/F12</f>
        <v/>
      </c>
      <c r="N12" s="3" t="n">
        <v>4</v>
      </c>
      <c r="O12" s="3" t="n">
        <v>0</v>
      </c>
      <c r="P12" s="2">
        <f>IF(F12&lt;100,"종료 100마리 미만","")</f>
        <v/>
      </c>
    </row>
    <row r="13">
      <c r="A13" s="2">
        <f>RANK(K13,$K$2:$K$454)</f>
        <v/>
      </c>
      <c r="B13" s="2" t="inlineStr">
        <is>
          <t>대구광역시</t>
        </is>
      </c>
      <c r="C13" s="2" t="inlineStr">
        <is>
          <t>대구광역시 중구</t>
        </is>
      </c>
      <c r="D13" s="2" t="inlineStr">
        <is>
          <t>대구시수의사회(원)</t>
        </is>
      </c>
      <c r="E13" s="2" t="inlineStr">
        <is>
          <t>327341201900001</t>
        </is>
      </c>
      <c r="F13" s="3">
        <f>SUM(G13:J13)</f>
        <v/>
      </c>
      <c r="G13" s="3" t="n">
        <v>4</v>
      </c>
      <c r="H13" s="3" t="n">
        <v>0</v>
      </c>
      <c r="I13" s="3" t="n">
        <v>0</v>
      </c>
      <c r="J13" s="3" t="n">
        <v>0</v>
      </c>
      <c r="K13" s="4">
        <f>G13/F13</f>
        <v/>
      </c>
      <c r="L13" s="4">
        <f>H13/F13</f>
        <v/>
      </c>
      <c r="M13" s="4">
        <f>I13/F13</f>
        <v/>
      </c>
      <c r="N13" s="3" t="n">
        <v>3</v>
      </c>
      <c r="O13" s="3" t="n">
        <v>0</v>
      </c>
      <c r="P13" s="2">
        <f>IF(F13&lt;100,"종료 100마리 미만","")</f>
        <v/>
      </c>
    </row>
    <row r="14">
      <c r="A14" s="2">
        <f>RANK(K14,$K$2:$K$454)</f>
        <v/>
      </c>
      <c r="B14" s="2" t="inlineStr">
        <is>
          <t>울산광역시</t>
        </is>
      </c>
      <c r="C14" s="2" t="inlineStr">
        <is>
          <t>울산광역시 남구</t>
        </is>
      </c>
      <c r="D14" s="2" t="inlineStr">
        <is>
          <t>남산동물병원</t>
        </is>
      </c>
      <c r="E14" s="2" t="inlineStr">
        <is>
          <t>331370200900007</t>
        </is>
      </c>
      <c r="F14" s="3">
        <f>SUM(G14:J14)</f>
        <v/>
      </c>
      <c r="G14" s="3" t="n">
        <v>4</v>
      </c>
      <c r="H14" s="3" t="n">
        <v>0</v>
      </c>
      <c r="I14" s="3" t="n">
        <v>0</v>
      </c>
      <c r="J14" s="3" t="n">
        <v>0</v>
      </c>
      <c r="K14" s="4">
        <f>G14/F14</f>
        <v/>
      </c>
      <c r="L14" s="4">
        <f>H14/F14</f>
        <v/>
      </c>
      <c r="M14" s="4">
        <f>I14/F14</f>
        <v/>
      </c>
      <c r="N14" s="3" t="n">
        <v>3</v>
      </c>
      <c r="O14" s="3" t="n">
        <v>0</v>
      </c>
      <c r="P14" s="2">
        <f>IF(F14&lt;100,"종료 100마리 미만","")</f>
        <v/>
      </c>
    </row>
    <row r="15">
      <c r="A15" s="2">
        <f>RANK(K15,$K$2:$K$454)</f>
        <v/>
      </c>
      <c r="B15" s="2" t="inlineStr">
        <is>
          <t>충청북도</t>
        </is>
      </c>
      <c r="C15" s="2" t="inlineStr">
        <is>
          <t>충청북도 증평군</t>
        </is>
      </c>
      <c r="D15" s="2" t="inlineStr">
        <is>
          <t>피학대동물임시보호소</t>
        </is>
      </c>
      <c r="E15" s="2" t="inlineStr">
        <is>
          <t>343557202100001</t>
        </is>
      </c>
      <c r="F15" s="3">
        <f>SUM(G15:J15)</f>
        <v/>
      </c>
      <c r="G15" s="3" t="n">
        <v>3</v>
      </c>
      <c r="H15" s="3" t="n">
        <v>0</v>
      </c>
      <c r="I15" s="3" t="n">
        <v>0</v>
      </c>
      <c r="J15" s="3" t="n">
        <v>0</v>
      </c>
      <c r="K15" s="4">
        <f>G15/F15</f>
        <v/>
      </c>
      <c r="L15" s="4">
        <f>H15/F15</f>
        <v/>
      </c>
      <c r="M15" s="4">
        <f>I15/F15</f>
        <v/>
      </c>
      <c r="N15" s="3" t="n">
        <v>0</v>
      </c>
      <c r="O15" s="3" t="n">
        <v>52</v>
      </c>
      <c r="P15" s="2">
        <f>IF(F15&lt;100,"종료 100마리 미만","")</f>
        <v/>
      </c>
    </row>
    <row r="16">
      <c r="A16" s="2">
        <f>RANK(K16,$K$2:$K$454)</f>
        <v/>
      </c>
      <c r="B16" s="2" t="inlineStr">
        <is>
          <t>서울특별시</t>
        </is>
      </c>
      <c r="C16" s="2" t="inlineStr">
        <is>
          <t>서울특별시 용산구</t>
        </is>
      </c>
      <c r="D16" s="2" t="inlineStr">
        <is>
          <t>한남동물병원</t>
        </is>
      </c>
      <c r="E16" s="2" t="inlineStr">
        <is>
          <t>311302201000004</t>
        </is>
      </c>
      <c r="F16" s="3">
        <f>SUM(G16:J16)</f>
        <v/>
      </c>
      <c r="G16" s="3" t="n">
        <v>2</v>
      </c>
      <c r="H16" s="3" t="n">
        <v>0</v>
      </c>
      <c r="I16" s="3" t="n">
        <v>0</v>
      </c>
      <c r="J16" s="3" t="n">
        <v>0</v>
      </c>
      <c r="K16" s="4">
        <f>G16/F16</f>
        <v/>
      </c>
      <c r="L16" s="4">
        <f>H16/F16</f>
        <v/>
      </c>
      <c r="M16" s="4">
        <f>I16/F16</f>
        <v/>
      </c>
      <c r="N16" s="3" t="n">
        <v>7</v>
      </c>
      <c r="O16" s="3" t="n">
        <v>0</v>
      </c>
      <c r="P16" s="2">
        <f>IF(F16&lt;100,"종료 100마리 미만","")</f>
        <v/>
      </c>
    </row>
    <row r="17">
      <c r="A17" s="2">
        <f>RANK(K17,$K$2:$K$454)</f>
        <v/>
      </c>
      <c r="B17" s="2" t="inlineStr">
        <is>
          <t>서울특별시</t>
        </is>
      </c>
      <c r="C17" s="2" t="inlineStr">
        <is>
          <t>서울특별시 성동구</t>
        </is>
      </c>
      <c r="D17" s="2" t="inlineStr">
        <is>
          <t>조은동물병원</t>
        </is>
      </c>
      <c r="E17" s="2" t="inlineStr">
        <is>
          <t>311303202500004</t>
        </is>
      </c>
      <c r="F17" s="3">
        <f>SUM(G17:J17)</f>
        <v/>
      </c>
      <c r="G17" s="3" t="n">
        <v>2</v>
      </c>
      <c r="H17" s="3" t="n">
        <v>0</v>
      </c>
      <c r="I17" s="3" t="n">
        <v>0</v>
      </c>
      <c r="J17" s="3" t="n">
        <v>0</v>
      </c>
      <c r="K17" s="4">
        <f>G17/F17</f>
        <v/>
      </c>
      <c r="L17" s="4">
        <f>H17/F17</f>
        <v/>
      </c>
      <c r="M17" s="4">
        <f>I17/F17</f>
        <v/>
      </c>
      <c r="N17" s="3" t="n">
        <v>2</v>
      </c>
      <c r="O17" s="3" t="n">
        <v>0</v>
      </c>
      <c r="P17" s="2">
        <f>IF(F17&lt;100,"종료 100마리 미만","")</f>
        <v/>
      </c>
    </row>
    <row r="18">
      <c r="A18" s="2">
        <f>RANK(K18,$K$2:$K$454)</f>
        <v/>
      </c>
      <c r="B18" s="2" t="inlineStr">
        <is>
          <t>부산광역시</t>
        </is>
      </c>
      <c r="C18" s="2" t="inlineStr">
        <is>
          <t>부산광역시 기장군</t>
        </is>
      </c>
      <c r="D18" s="2" t="inlineStr">
        <is>
          <t>기장군</t>
        </is>
      </c>
      <c r="E18" s="2" t="inlineStr">
        <is>
          <t>326340202100002</t>
        </is>
      </c>
      <c r="F18" s="3">
        <f>SUM(G18:J18)</f>
        <v/>
      </c>
      <c r="G18" s="3" t="n">
        <v>2</v>
      </c>
      <c r="H18" s="3" t="n">
        <v>0</v>
      </c>
      <c r="I18" s="3" t="n">
        <v>0</v>
      </c>
      <c r="J18" s="3" t="n">
        <v>0</v>
      </c>
      <c r="K18" s="4">
        <f>G18/F18</f>
        <v/>
      </c>
      <c r="L18" s="4">
        <f>H18/F18</f>
        <v/>
      </c>
      <c r="M18" s="4">
        <f>I18/F18</f>
        <v/>
      </c>
      <c r="N18" s="3" t="n">
        <v>0</v>
      </c>
      <c r="O18" s="3" t="n">
        <v>0</v>
      </c>
      <c r="P18" s="2">
        <f>IF(F18&lt;100,"종료 100마리 미만","")</f>
        <v/>
      </c>
    </row>
    <row r="19">
      <c r="A19" s="2">
        <f>RANK(K19,$K$2:$K$454)</f>
        <v/>
      </c>
      <c r="B19" s="2" t="inlineStr">
        <is>
          <t>울산광역시</t>
        </is>
      </c>
      <c r="C19" s="2" t="inlineStr">
        <is>
          <t>울산광역시 남구</t>
        </is>
      </c>
      <c r="D19" s="2" t="inlineStr">
        <is>
          <t>리틀쥬동물의료원</t>
        </is>
      </c>
      <c r="E19" s="2" t="inlineStr">
        <is>
          <t>331370201600002</t>
        </is>
      </c>
      <c r="F19" s="3">
        <f>SUM(G19:J19)</f>
        <v/>
      </c>
      <c r="G19" s="3" t="n">
        <v>2</v>
      </c>
      <c r="H19" s="3" t="n">
        <v>0</v>
      </c>
      <c r="I19" s="3" t="n">
        <v>0</v>
      </c>
      <c r="J19" s="3" t="n">
        <v>0</v>
      </c>
      <c r="K19" s="4">
        <f>G19/F19</f>
        <v/>
      </c>
      <c r="L19" s="4">
        <f>H19/F19</f>
        <v/>
      </c>
      <c r="M19" s="4">
        <f>I19/F19</f>
        <v/>
      </c>
      <c r="N19" s="3" t="n">
        <v>3</v>
      </c>
      <c r="O19" s="3" t="n">
        <v>0</v>
      </c>
      <c r="P19" s="2">
        <f>IF(F19&lt;100,"종료 100마리 미만","")</f>
        <v/>
      </c>
    </row>
    <row r="20">
      <c r="A20" s="2">
        <f>RANK(K20,$K$2:$K$454)</f>
        <v/>
      </c>
      <c r="B20" s="2" t="inlineStr">
        <is>
          <t>울산광역시</t>
        </is>
      </c>
      <c r="C20" s="2" t="inlineStr">
        <is>
          <t>울산광역시 북구</t>
        </is>
      </c>
      <c r="D20" s="2" t="inlineStr">
        <is>
          <t>정철동물병원</t>
        </is>
      </c>
      <c r="E20" s="2" t="inlineStr">
        <is>
          <t>331372202000001</t>
        </is>
      </c>
      <c r="F20" s="3">
        <f>SUM(G20:J20)</f>
        <v/>
      </c>
      <c r="G20" s="3" t="n">
        <v>2</v>
      </c>
      <c r="H20" s="3" t="n">
        <v>0</v>
      </c>
      <c r="I20" s="3" t="n">
        <v>0</v>
      </c>
      <c r="J20" s="3" t="n">
        <v>0</v>
      </c>
      <c r="K20" s="4">
        <f>G20/F20</f>
        <v/>
      </c>
      <c r="L20" s="4">
        <f>H20/F20</f>
        <v/>
      </c>
      <c r="M20" s="4">
        <f>I20/F20</f>
        <v/>
      </c>
      <c r="N20" s="3" t="n">
        <v>0</v>
      </c>
      <c r="O20" s="3" t="n">
        <v>0</v>
      </c>
      <c r="P20" s="2">
        <f>IF(F20&lt;100,"종료 100마리 미만","")</f>
        <v/>
      </c>
    </row>
    <row r="21">
      <c r="A21" s="2">
        <f>RANK(K21,$K$2:$K$454)</f>
        <v/>
      </c>
      <c r="B21" s="2" t="inlineStr">
        <is>
          <t>강원특별자치도</t>
        </is>
      </c>
      <c r="C21" s="2" t="inlineStr">
        <is>
          <t>강원특별자치도 고성군</t>
        </is>
      </c>
      <c r="D21" s="2" t="inlineStr">
        <is>
          <t>고성군 동물보호센터</t>
        </is>
      </c>
      <c r="E21" s="2" t="inlineStr">
        <is>
          <t>342434202500001</t>
        </is>
      </c>
      <c r="F21" s="3">
        <f>SUM(G21:J21)</f>
        <v/>
      </c>
      <c r="G21" s="3" t="n">
        <v>2</v>
      </c>
      <c r="H21" s="3" t="n">
        <v>0</v>
      </c>
      <c r="I21" s="3" t="n">
        <v>0</v>
      </c>
      <c r="J21" s="3" t="n">
        <v>0</v>
      </c>
      <c r="K21" s="4">
        <f>G21/F21</f>
        <v/>
      </c>
      <c r="L21" s="4">
        <f>H21/F21</f>
        <v/>
      </c>
      <c r="M21" s="4">
        <f>I21/F21</f>
        <v/>
      </c>
      <c r="N21" s="3" t="n">
        <v>0</v>
      </c>
      <c r="O21" s="3" t="n">
        <v>0</v>
      </c>
      <c r="P21" s="2">
        <f>IF(F21&lt;100,"종료 100마리 미만","")</f>
        <v/>
      </c>
    </row>
    <row r="22">
      <c r="A22" s="2">
        <f>RANK(K22,$K$2:$K$454)</f>
        <v/>
      </c>
      <c r="B22" s="2" t="inlineStr">
        <is>
          <t>서울특별시</t>
        </is>
      </c>
      <c r="C22" s="2" t="inlineStr">
        <is>
          <t>서울특별시 용산구</t>
        </is>
      </c>
      <c r="D22" s="2" t="inlineStr">
        <is>
          <t>서울수의사용산구분회</t>
        </is>
      </c>
      <c r="E22" s="2" t="inlineStr">
        <is>
          <t>311302201000001</t>
        </is>
      </c>
      <c r="F22" s="3">
        <f>SUM(G22:J22)</f>
        <v/>
      </c>
      <c r="G22" s="3" t="n">
        <v>1</v>
      </c>
      <c r="H22" s="3" t="n">
        <v>0</v>
      </c>
      <c r="I22" s="3" t="n">
        <v>0</v>
      </c>
      <c r="J22" s="3" t="n">
        <v>0</v>
      </c>
      <c r="K22" s="4">
        <f>G22/F22</f>
        <v/>
      </c>
      <c r="L22" s="4">
        <f>H22/F22</f>
        <v/>
      </c>
      <c r="M22" s="4">
        <f>I22/F22</f>
        <v/>
      </c>
      <c r="N22" s="3" t="n">
        <v>0</v>
      </c>
      <c r="O22" s="3" t="n">
        <v>0</v>
      </c>
      <c r="P22" s="2">
        <f>IF(F22&lt;100,"종료 100마리 미만","")</f>
        <v/>
      </c>
    </row>
    <row r="23">
      <c r="A23" s="2">
        <f>RANK(K23,$K$2:$K$454)</f>
        <v/>
      </c>
      <c r="B23" s="2" t="inlineStr">
        <is>
          <t>서울특별시</t>
        </is>
      </c>
      <c r="C23" s="2" t="inlineStr">
        <is>
          <t>서울특별시 용산구</t>
        </is>
      </c>
      <c r="D23" s="2" t="inlineStr">
        <is>
          <t>민트동물병원</t>
        </is>
      </c>
      <c r="E23" s="2" t="inlineStr">
        <is>
          <t>311302201400001</t>
        </is>
      </c>
      <c r="F23" s="3">
        <f>SUM(G23:J23)</f>
        <v/>
      </c>
      <c r="G23" s="3" t="n">
        <v>1</v>
      </c>
      <c r="H23" s="3" t="n">
        <v>0</v>
      </c>
      <c r="I23" s="3" t="n">
        <v>0</v>
      </c>
      <c r="J23" s="3" t="n">
        <v>0</v>
      </c>
      <c r="K23" s="4">
        <f>G23/F23</f>
        <v/>
      </c>
      <c r="L23" s="4">
        <f>H23/F23</f>
        <v/>
      </c>
      <c r="M23" s="4">
        <f>I23/F23</f>
        <v/>
      </c>
      <c r="N23" s="3" t="n">
        <v>2</v>
      </c>
      <c r="O23" s="3" t="n">
        <v>0</v>
      </c>
      <c r="P23" s="2">
        <f>IF(F23&lt;100,"종료 100마리 미만","")</f>
        <v/>
      </c>
    </row>
    <row r="24">
      <c r="A24" s="2">
        <f>RANK(K24,$K$2:$K$454)</f>
        <v/>
      </c>
      <c r="B24" s="2" t="inlineStr">
        <is>
          <t>서울특별시</t>
        </is>
      </c>
      <c r="C24" s="2" t="inlineStr">
        <is>
          <t>서울특별시 성동구</t>
        </is>
      </c>
      <c r="D24" s="2" t="inlineStr">
        <is>
          <t>한빛동물병원</t>
        </is>
      </c>
      <c r="E24" s="2" t="inlineStr">
        <is>
          <t>311303202000002</t>
        </is>
      </c>
      <c r="F24" s="3">
        <f>SUM(G24:J24)</f>
        <v/>
      </c>
      <c r="G24" s="3" t="n">
        <v>1</v>
      </c>
      <c r="H24" s="3" t="n">
        <v>0</v>
      </c>
      <c r="I24" s="3" t="n">
        <v>0</v>
      </c>
      <c r="J24" s="3" t="n">
        <v>0</v>
      </c>
      <c r="K24" s="4">
        <f>G24/F24</f>
        <v/>
      </c>
      <c r="L24" s="4">
        <f>H24/F24</f>
        <v/>
      </c>
      <c r="M24" s="4">
        <f>I24/F24</f>
        <v/>
      </c>
      <c r="N24" s="3" t="n">
        <v>0</v>
      </c>
      <c r="O24" s="3" t="n">
        <v>0</v>
      </c>
      <c r="P24" s="2">
        <f>IF(F24&lt;100,"종료 100마리 미만","")</f>
        <v/>
      </c>
    </row>
    <row r="25">
      <c r="A25" s="2">
        <f>RANK(K25,$K$2:$K$454)</f>
        <v/>
      </c>
      <c r="B25" s="2" t="inlineStr">
        <is>
          <t>서울특별시</t>
        </is>
      </c>
      <c r="C25" s="2" t="inlineStr">
        <is>
          <t>서울특별시 성동구</t>
        </is>
      </c>
      <c r="D25" s="2" t="inlineStr">
        <is>
          <t>성동구청</t>
        </is>
      </c>
      <c r="E25" s="2" t="inlineStr">
        <is>
          <t>311303202500001</t>
        </is>
      </c>
      <c r="F25" s="3">
        <f>SUM(G25:J25)</f>
        <v/>
      </c>
      <c r="G25" s="3" t="n">
        <v>1</v>
      </c>
      <c r="H25" s="3" t="n">
        <v>0</v>
      </c>
      <c r="I25" s="3" t="n">
        <v>0</v>
      </c>
      <c r="J25" s="3" t="n">
        <v>0</v>
      </c>
      <c r="K25" s="4">
        <f>G25/F25</f>
        <v/>
      </c>
      <c r="L25" s="4">
        <f>H25/F25</f>
        <v/>
      </c>
      <c r="M25" s="4">
        <f>I25/F25</f>
        <v/>
      </c>
      <c r="N25" s="3" t="n">
        <v>0</v>
      </c>
      <c r="O25" s="3" t="n">
        <v>0</v>
      </c>
      <c r="P25" s="2">
        <f>IF(F25&lt;100,"종료 100마리 미만","")</f>
        <v/>
      </c>
    </row>
    <row r="26">
      <c r="A26" s="2">
        <f>RANK(K26,$K$2:$K$454)</f>
        <v/>
      </c>
      <c r="B26" s="2" t="inlineStr">
        <is>
          <t>서울특별시</t>
        </is>
      </c>
      <c r="C26" s="2" t="inlineStr">
        <is>
          <t>서울특별시 성동구</t>
        </is>
      </c>
      <c r="D26" s="2" t="inlineStr">
        <is>
          <t>오렌지동물병원</t>
        </is>
      </c>
      <c r="E26" s="2" t="inlineStr">
        <is>
          <t>311303202500003</t>
        </is>
      </c>
      <c r="F26" s="3">
        <f>SUM(G26:J26)</f>
        <v/>
      </c>
      <c r="G26" s="3" t="n">
        <v>1</v>
      </c>
      <c r="H26" s="3" t="n">
        <v>0</v>
      </c>
      <c r="I26" s="3" t="n">
        <v>0</v>
      </c>
      <c r="J26" s="3" t="n">
        <v>0</v>
      </c>
      <c r="K26" s="4">
        <f>G26/F26</f>
        <v/>
      </c>
      <c r="L26" s="4">
        <f>H26/F26</f>
        <v/>
      </c>
      <c r="M26" s="4">
        <f>I26/F26</f>
        <v/>
      </c>
      <c r="N26" s="3" t="n">
        <v>1</v>
      </c>
      <c r="O26" s="3" t="n">
        <v>0</v>
      </c>
      <c r="P26" s="2">
        <f>IF(F26&lt;100,"종료 100마리 미만","")</f>
        <v/>
      </c>
    </row>
    <row r="27">
      <c r="A27" s="2">
        <f>RANK(K27,$K$2:$K$454)</f>
        <v/>
      </c>
      <c r="B27" s="2" t="inlineStr">
        <is>
          <t>서울특별시</t>
        </is>
      </c>
      <c r="C27" s="2" t="inlineStr">
        <is>
          <t>서울특별시 성동구</t>
        </is>
      </c>
      <c r="D27" s="2" t="inlineStr">
        <is>
          <t>24시센트럴동물메디컬</t>
        </is>
      </c>
      <c r="E27" s="2" t="inlineStr">
        <is>
          <t>311303202500006</t>
        </is>
      </c>
      <c r="F27" s="3">
        <f>SUM(G27:J27)</f>
        <v/>
      </c>
      <c r="G27" s="3" t="n">
        <v>1</v>
      </c>
      <c r="H27" s="3" t="n">
        <v>0</v>
      </c>
      <c r="I27" s="3" t="n">
        <v>0</v>
      </c>
      <c r="J27" s="3" t="n">
        <v>0</v>
      </c>
      <c r="K27" s="4">
        <f>G27/F27</f>
        <v/>
      </c>
      <c r="L27" s="4">
        <f>H27/F27</f>
        <v/>
      </c>
      <c r="M27" s="4">
        <f>I27/F27</f>
        <v/>
      </c>
      <c r="N27" s="3" t="n">
        <v>9</v>
      </c>
      <c r="O27" s="3" t="n">
        <v>0</v>
      </c>
      <c r="P27" s="2">
        <f>IF(F27&lt;100,"종료 100마리 미만","")</f>
        <v/>
      </c>
    </row>
    <row r="28">
      <c r="A28" s="2">
        <f>RANK(K28,$K$2:$K$454)</f>
        <v/>
      </c>
      <c r="B28" s="2" t="inlineStr">
        <is>
          <t>서울특별시</t>
        </is>
      </c>
      <c r="C28" s="2" t="inlineStr">
        <is>
          <t>서울특별시 광진구</t>
        </is>
      </c>
      <c r="D28" s="2" t="inlineStr">
        <is>
          <t>강동리본센터</t>
        </is>
      </c>
      <c r="E28" s="2" t="inlineStr">
        <is>
          <t>311304202200003</t>
        </is>
      </c>
      <c r="F28" s="3">
        <f>SUM(G28:J28)</f>
        <v/>
      </c>
      <c r="G28" s="3" t="n">
        <v>1</v>
      </c>
      <c r="H28" s="3" t="n">
        <v>0</v>
      </c>
      <c r="I28" s="3" t="n">
        <v>0</v>
      </c>
      <c r="J28" s="3" t="n">
        <v>0</v>
      </c>
      <c r="K28" s="4">
        <f>G28/F28</f>
        <v/>
      </c>
      <c r="L28" s="4">
        <f>H28/F28</f>
        <v/>
      </c>
      <c r="M28" s="4">
        <f>I28/F28</f>
        <v/>
      </c>
      <c r="N28" s="3" t="n">
        <v>0</v>
      </c>
      <c r="O28" s="3" t="n">
        <v>0</v>
      </c>
      <c r="P28" s="2">
        <f>IF(F28&lt;100,"종료 100마리 미만","")</f>
        <v/>
      </c>
    </row>
    <row r="29">
      <c r="A29" s="2">
        <f>RANK(K29,$K$2:$K$454)</f>
        <v/>
      </c>
      <c r="B29" s="2" t="inlineStr">
        <is>
          <t>부산광역시</t>
        </is>
      </c>
      <c r="C29" s="2" t="inlineStr">
        <is>
          <t>부산광역시 중구</t>
        </is>
      </c>
      <c r="D29" s="2" t="inlineStr">
        <is>
          <t>부산유기동물보호협회</t>
        </is>
      </c>
      <c r="E29" s="2" t="inlineStr">
        <is>
          <t>326325201000001</t>
        </is>
      </c>
      <c r="F29" s="3">
        <f>SUM(G29:J29)</f>
        <v/>
      </c>
      <c r="G29" s="3" t="n">
        <v>1</v>
      </c>
      <c r="H29" s="3" t="n">
        <v>0</v>
      </c>
      <c r="I29" s="3" t="n">
        <v>0</v>
      </c>
      <c r="J29" s="3" t="n">
        <v>0</v>
      </c>
      <c r="K29" s="4">
        <f>G29/F29</f>
        <v/>
      </c>
      <c r="L29" s="4">
        <f>H29/F29</f>
        <v/>
      </c>
      <c r="M29" s="4">
        <f>I29/F29</f>
        <v/>
      </c>
      <c r="N29" s="3" t="n">
        <v>0</v>
      </c>
      <c r="O29" s="3" t="n">
        <v>0</v>
      </c>
      <c r="P29" s="2">
        <f>IF(F29&lt;100,"종료 100마리 미만","")</f>
        <v/>
      </c>
    </row>
    <row r="30">
      <c r="A30" s="2">
        <f>RANK(K30,$K$2:$K$454)</f>
        <v/>
      </c>
      <c r="B30" s="2" t="inlineStr">
        <is>
          <t>대전광역시</t>
        </is>
      </c>
      <c r="C30" s="2" t="inlineStr">
        <is>
          <t>대전광역시 서구</t>
        </is>
      </c>
      <c r="D30" s="2" t="inlineStr">
        <is>
          <t>정 동물병원</t>
        </is>
      </c>
      <c r="E30" s="2" t="inlineStr">
        <is>
          <t>330366202500001</t>
        </is>
      </c>
      <c r="F30" s="3">
        <f>SUM(G30:J30)</f>
        <v/>
      </c>
      <c r="G30" s="3" t="n">
        <v>1</v>
      </c>
      <c r="H30" s="3" t="n">
        <v>0</v>
      </c>
      <c r="I30" s="3" t="n">
        <v>0</v>
      </c>
      <c r="J30" s="3" t="n">
        <v>0</v>
      </c>
      <c r="K30" s="4">
        <f>G30/F30</f>
        <v/>
      </c>
      <c r="L30" s="4">
        <f>H30/F30</f>
        <v/>
      </c>
      <c r="M30" s="4">
        <f>I30/F30</f>
        <v/>
      </c>
      <c r="N30" s="3" t="n">
        <v>0</v>
      </c>
      <c r="O30" s="3" t="n">
        <v>0</v>
      </c>
      <c r="P30" s="2">
        <f>IF(F30&lt;100,"종료 100마리 미만","")</f>
        <v/>
      </c>
    </row>
    <row r="31">
      <c r="A31" s="2">
        <f>RANK(K31,$K$2:$K$454)</f>
        <v/>
      </c>
      <c r="B31" s="2" t="inlineStr">
        <is>
          <t>대전광역시</t>
        </is>
      </c>
      <c r="C31" s="2" t="inlineStr">
        <is>
          <t>대전광역시 서구</t>
        </is>
      </c>
      <c r="D31" s="2" t="inlineStr">
        <is>
          <t>퍼피동물병원</t>
        </is>
      </c>
      <c r="E31" s="2" t="inlineStr">
        <is>
          <t>330366202500002</t>
        </is>
      </c>
      <c r="F31" s="3">
        <f>SUM(G31:J31)</f>
        <v/>
      </c>
      <c r="G31" s="3" t="n">
        <v>1</v>
      </c>
      <c r="H31" s="3" t="n">
        <v>0</v>
      </c>
      <c r="I31" s="3" t="n">
        <v>0</v>
      </c>
      <c r="J31" s="3" t="n">
        <v>0</v>
      </c>
      <c r="K31" s="4">
        <f>G31/F31</f>
        <v/>
      </c>
      <c r="L31" s="4">
        <f>H31/F31</f>
        <v/>
      </c>
      <c r="M31" s="4">
        <f>I31/F31</f>
        <v/>
      </c>
      <c r="N31" s="3" t="n">
        <v>0</v>
      </c>
      <c r="O31" s="3" t="n">
        <v>0</v>
      </c>
      <c r="P31" s="2">
        <f>IF(F31&lt;100,"종료 100마리 미만","")</f>
        <v/>
      </c>
    </row>
    <row r="32">
      <c r="A32" s="2">
        <f>RANK(K32,$K$2:$K$454)</f>
        <v/>
      </c>
      <c r="B32" s="2" t="inlineStr">
        <is>
          <t>대전광역시</t>
        </is>
      </c>
      <c r="C32" s="2" t="inlineStr">
        <is>
          <t>대전광역시 유성구</t>
        </is>
      </c>
      <c r="D32" s="2" t="inlineStr">
        <is>
          <t>늘푸른동물병원</t>
        </is>
      </c>
      <c r="E32" s="2" t="inlineStr">
        <is>
          <t>330367202400001</t>
        </is>
      </c>
      <c r="F32" s="3">
        <f>SUM(G32:J32)</f>
        <v/>
      </c>
      <c r="G32" s="3" t="n">
        <v>1</v>
      </c>
      <c r="H32" s="3" t="n">
        <v>0</v>
      </c>
      <c r="I32" s="3" t="n">
        <v>0</v>
      </c>
      <c r="J32" s="3" t="n">
        <v>0</v>
      </c>
      <c r="K32" s="4">
        <f>G32/F32</f>
        <v/>
      </c>
      <c r="L32" s="4">
        <f>H32/F32</f>
        <v/>
      </c>
      <c r="M32" s="4">
        <f>I32/F32</f>
        <v/>
      </c>
      <c r="N32" s="3" t="n">
        <v>0</v>
      </c>
      <c r="O32" s="3" t="n">
        <v>0</v>
      </c>
      <c r="P32" s="2">
        <f>IF(F32&lt;100,"종료 100마리 미만","")</f>
        <v/>
      </c>
    </row>
    <row r="33">
      <c r="A33" s="2">
        <f>RANK(K33,$K$2:$K$454)</f>
        <v/>
      </c>
      <c r="B33" s="2" t="inlineStr">
        <is>
          <t>울산광역시</t>
        </is>
      </c>
      <c r="C33" s="2" t="inlineStr">
        <is>
          <t>울산광역시 동구</t>
        </is>
      </c>
      <c r="D33" s="2" t="inlineStr">
        <is>
          <t>산타클라라동물병원</t>
        </is>
      </c>
      <c r="E33" s="2" t="inlineStr">
        <is>
          <t>331371202400001</t>
        </is>
      </c>
      <c r="F33" s="3">
        <f>SUM(G33:J33)</f>
        <v/>
      </c>
      <c r="G33" s="3" t="n">
        <v>1</v>
      </c>
      <c r="H33" s="3" t="n">
        <v>0</v>
      </c>
      <c r="I33" s="3" t="n">
        <v>0</v>
      </c>
      <c r="J33" s="3" t="n">
        <v>0</v>
      </c>
      <c r="K33" s="4">
        <f>G33/F33</f>
        <v/>
      </c>
      <c r="L33" s="4">
        <f>H33/F33</f>
        <v/>
      </c>
      <c r="M33" s="4">
        <f>I33/F33</f>
        <v/>
      </c>
      <c r="N33" s="3" t="n">
        <v>1</v>
      </c>
      <c r="O33" s="3" t="n">
        <v>0</v>
      </c>
      <c r="P33" s="2">
        <f>IF(F33&lt;100,"종료 100마리 미만","")</f>
        <v/>
      </c>
    </row>
    <row r="34">
      <c r="A34" s="2">
        <f>RANK(K34,$K$2:$K$454)</f>
        <v/>
      </c>
      <c r="B34" s="2" t="inlineStr">
        <is>
          <t>경기도</t>
        </is>
      </c>
      <c r="C34" s="2" t="inlineStr">
        <is>
          <t>경기도 용인시</t>
        </is>
      </c>
      <c r="D34" s="2" t="inlineStr">
        <is>
          <t>유기견없는도시</t>
        </is>
      </c>
      <c r="E34" s="2" t="inlineStr">
        <is>
          <t>341405202300001</t>
        </is>
      </c>
      <c r="F34" s="3">
        <f>SUM(G34:J34)</f>
        <v/>
      </c>
      <c r="G34" s="3" t="n">
        <v>1</v>
      </c>
      <c r="H34" s="3" t="n">
        <v>0</v>
      </c>
      <c r="I34" s="3" t="n">
        <v>0</v>
      </c>
      <c r="J34" s="3" t="n">
        <v>0</v>
      </c>
      <c r="K34" s="4">
        <f>G34/F34</f>
        <v/>
      </c>
      <c r="L34" s="4">
        <f>H34/F34</f>
        <v/>
      </c>
      <c r="M34" s="4">
        <f>I34/F34</f>
        <v/>
      </c>
      <c r="N34" s="3" t="n">
        <v>0</v>
      </c>
      <c r="O34" s="3" t="n">
        <v>0</v>
      </c>
      <c r="P34" s="2">
        <f>IF(F34&lt;100,"종료 100마리 미만","")</f>
        <v/>
      </c>
    </row>
    <row r="35">
      <c r="A35" s="2">
        <f>RANK(K35,$K$2:$K$454)</f>
        <v/>
      </c>
      <c r="B35" s="2" t="inlineStr">
        <is>
          <t>경기도</t>
        </is>
      </c>
      <c r="C35" s="2" t="inlineStr">
        <is>
          <t>경기도 파주시</t>
        </is>
      </c>
      <c r="D35" s="2" t="inlineStr">
        <is>
          <t>가온동물병원</t>
        </is>
      </c>
      <c r="E35" s="2" t="inlineStr">
        <is>
          <t>341406201700002</t>
        </is>
      </c>
      <c r="F35" s="3">
        <f>SUM(G35:J35)</f>
        <v/>
      </c>
      <c r="G35" s="3" t="n">
        <v>1</v>
      </c>
      <c r="H35" s="3" t="n">
        <v>0</v>
      </c>
      <c r="I35" s="3" t="n">
        <v>0</v>
      </c>
      <c r="J35" s="3" t="n">
        <v>0</v>
      </c>
      <c r="K35" s="4">
        <f>G35/F35</f>
        <v/>
      </c>
      <c r="L35" s="4">
        <f>H35/F35</f>
        <v/>
      </c>
      <c r="M35" s="4">
        <f>I35/F35</f>
        <v/>
      </c>
      <c r="N35" s="3" t="n">
        <v>2</v>
      </c>
      <c r="O35" s="3" t="n">
        <v>0</v>
      </c>
      <c r="P35" s="2">
        <f>IF(F35&lt;100,"종료 100마리 미만","")</f>
        <v/>
      </c>
    </row>
    <row r="36">
      <c r="A36" s="2">
        <f>RANK(K36,$K$2:$K$454)</f>
        <v/>
      </c>
      <c r="B36" s="2" t="inlineStr">
        <is>
          <t>강원특별자치도</t>
        </is>
      </c>
      <c r="C36" s="2" t="inlineStr">
        <is>
          <t>강원특별자치도 삼척시</t>
        </is>
      </c>
      <c r="D36" s="2" t="inlineStr">
        <is>
          <t>두타동물병원</t>
        </is>
      </c>
      <c r="E36" s="2" t="inlineStr">
        <is>
          <t>342424201800001</t>
        </is>
      </c>
      <c r="F36" s="3">
        <f>SUM(G36:J36)</f>
        <v/>
      </c>
      <c r="G36" s="3" t="n">
        <v>1</v>
      </c>
      <c r="H36" s="3" t="n">
        <v>0</v>
      </c>
      <c r="I36" s="3" t="n">
        <v>0</v>
      </c>
      <c r="J36" s="3" t="n">
        <v>0</v>
      </c>
      <c r="K36" s="4">
        <f>G36/F36</f>
        <v/>
      </c>
      <c r="L36" s="4">
        <f>H36/F36</f>
        <v/>
      </c>
      <c r="M36" s="4">
        <f>I36/F36</f>
        <v/>
      </c>
      <c r="N36" s="3" t="n">
        <v>0</v>
      </c>
      <c r="O36" s="3" t="n">
        <v>0</v>
      </c>
      <c r="P36" s="2">
        <f>IF(F36&lt;100,"종료 100마리 미만","")</f>
        <v/>
      </c>
    </row>
    <row r="37">
      <c r="A37" s="2">
        <f>RANK(K37,$K$2:$K$454)</f>
        <v/>
      </c>
      <c r="B37" s="2" t="inlineStr">
        <is>
          <t>충청남도</t>
        </is>
      </c>
      <c r="C37" s="2" t="inlineStr">
        <is>
          <t>충청남도 천안시</t>
        </is>
      </c>
      <c r="D37" s="2" t="inlineStr">
        <is>
          <t>디어마이프렌즈</t>
        </is>
      </c>
      <c r="E37" s="2" t="inlineStr">
        <is>
          <t>344449202000003</t>
        </is>
      </c>
      <c r="F37" s="3">
        <f>SUM(G37:J37)</f>
        <v/>
      </c>
      <c r="G37" s="3" t="n">
        <v>1</v>
      </c>
      <c r="H37" s="3" t="n">
        <v>0</v>
      </c>
      <c r="I37" s="3" t="n">
        <v>0</v>
      </c>
      <c r="J37" s="3" t="n">
        <v>0</v>
      </c>
      <c r="K37" s="4">
        <f>G37/F37</f>
        <v/>
      </c>
      <c r="L37" s="4">
        <f>H37/F37</f>
        <v/>
      </c>
      <c r="M37" s="4">
        <f>I37/F37</f>
        <v/>
      </c>
      <c r="N37" s="3" t="n">
        <v>0</v>
      </c>
      <c r="O37" s="3" t="n">
        <v>0</v>
      </c>
      <c r="P37" s="2">
        <f>IF(F37&lt;100,"종료 100마리 미만","")</f>
        <v/>
      </c>
    </row>
    <row r="38">
      <c r="A38" s="2">
        <f>RANK(K38,$K$2:$K$454)</f>
        <v/>
      </c>
      <c r="B38" s="2" t="inlineStr">
        <is>
          <t>충청남도</t>
        </is>
      </c>
      <c r="C38" s="2" t="inlineStr">
        <is>
          <t>충청남도 공주시</t>
        </is>
      </c>
      <c r="D38" s="2" t="inlineStr">
        <is>
          <t>강북동물병원</t>
        </is>
      </c>
      <c r="E38" s="2" t="inlineStr">
        <is>
          <t>344450201500001</t>
        </is>
      </c>
      <c r="F38" s="3">
        <f>SUM(G38:J38)</f>
        <v/>
      </c>
      <c r="G38" s="3" t="n">
        <v>1</v>
      </c>
      <c r="H38" s="3" t="n">
        <v>0</v>
      </c>
      <c r="I38" s="3" t="n">
        <v>0</v>
      </c>
      <c r="J38" s="3" t="n">
        <v>0</v>
      </c>
      <c r="K38" s="4">
        <f>G38/F38</f>
        <v/>
      </c>
      <c r="L38" s="4">
        <f>H38/F38</f>
        <v/>
      </c>
      <c r="M38" s="4">
        <f>I38/F38</f>
        <v/>
      </c>
      <c r="N38" s="3" t="n">
        <v>0</v>
      </c>
      <c r="O38" s="3" t="n">
        <v>0</v>
      </c>
      <c r="P38" s="2">
        <f>IF(F38&lt;100,"종료 100마리 미만","")</f>
        <v/>
      </c>
    </row>
    <row r="39">
      <c r="A39" s="2">
        <f>RANK(K39,$K$2:$K$454)</f>
        <v/>
      </c>
      <c r="B39" s="2" t="inlineStr">
        <is>
          <t>경상남도</t>
        </is>
      </c>
      <c r="C39" s="2" t="inlineStr">
        <is>
          <t>경상남도 창원시 진해구</t>
        </is>
      </c>
      <c r="D39" s="2" t="inlineStr">
        <is>
          <t>TNR동물병원</t>
        </is>
      </c>
      <c r="E39" s="2" t="inlineStr">
        <is>
          <t>348532202100002</t>
        </is>
      </c>
      <c r="F39" s="3">
        <f>SUM(G39:J39)</f>
        <v/>
      </c>
      <c r="G39" s="3" t="n">
        <v>1</v>
      </c>
      <c r="H39" s="3" t="n">
        <v>0</v>
      </c>
      <c r="I39" s="3" t="n">
        <v>0</v>
      </c>
      <c r="J39" s="3" t="n">
        <v>0</v>
      </c>
      <c r="K39" s="4">
        <f>G39/F39</f>
        <v/>
      </c>
      <c r="L39" s="4">
        <f>H39/F39</f>
        <v/>
      </c>
      <c r="M39" s="4">
        <f>I39/F39</f>
        <v/>
      </c>
      <c r="N39" s="3" t="n">
        <v>0</v>
      </c>
      <c r="O39" s="3" t="n">
        <v>0</v>
      </c>
      <c r="P39" s="2">
        <f>IF(F39&lt;100,"종료 100마리 미만","")</f>
        <v/>
      </c>
    </row>
    <row r="40">
      <c r="A40" s="2">
        <f>RANK(K40,$K$2:$K$454)</f>
        <v/>
      </c>
      <c r="B40" s="2" t="inlineStr">
        <is>
          <t>경상남도</t>
        </is>
      </c>
      <c r="C40" s="2" t="inlineStr">
        <is>
          <t>경상남도 고성군</t>
        </is>
      </c>
      <c r="D40" s="2" t="inlineStr">
        <is>
          <t>서울동물병원</t>
        </is>
      </c>
      <c r="E40" s="2" t="inlineStr">
        <is>
          <t>348542201900001</t>
        </is>
      </c>
      <c r="F40" s="3">
        <f>SUM(G40:J40)</f>
        <v/>
      </c>
      <c r="G40" s="3" t="n">
        <v>1</v>
      </c>
      <c r="H40" s="3" t="n">
        <v>0</v>
      </c>
      <c r="I40" s="3" t="n">
        <v>0</v>
      </c>
      <c r="J40" s="3" t="n">
        <v>0</v>
      </c>
      <c r="K40" s="4">
        <f>G40/F40</f>
        <v/>
      </c>
      <c r="L40" s="4">
        <f>H40/F40</f>
        <v/>
      </c>
      <c r="M40" s="4">
        <f>I40/F40</f>
        <v/>
      </c>
      <c r="N40" s="3" t="n">
        <v>0</v>
      </c>
      <c r="O40" s="3" t="n">
        <v>0</v>
      </c>
      <c r="P40" s="2">
        <f>IF(F40&lt;100,"종료 100마리 미만","")</f>
        <v/>
      </c>
    </row>
    <row r="41">
      <c r="A41" s="2">
        <f>RANK(K41,$K$2:$K$454)</f>
        <v/>
      </c>
      <c r="B41" s="2" t="inlineStr">
        <is>
          <t>경상남도</t>
        </is>
      </c>
      <c r="C41" s="2" t="inlineStr">
        <is>
          <t>경상남도 고성군</t>
        </is>
      </c>
      <c r="D41" s="2" t="inlineStr">
        <is>
          <t>제일가축병원</t>
        </is>
      </c>
      <c r="E41" s="2" t="inlineStr">
        <is>
          <t>348542202000001</t>
        </is>
      </c>
      <c r="F41" s="3">
        <f>SUM(G41:J41)</f>
        <v/>
      </c>
      <c r="G41" s="3" t="n">
        <v>1</v>
      </c>
      <c r="H41" s="3" t="n">
        <v>0</v>
      </c>
      <c r="I41" s="3" t="n">
        <v>0</v>
      </c>
      <c r="J41" s="3" t="n">
        <v>0</v>
      </c>
      <c r="K41" s="4">
        <f>G41/F41</f>
        <v/>
      </c>
      <c r="L41" s="4">
        <f>H41/F41</f>
        <v/>
      </c>
      <c r="M41" s="4">
        <f>I41/F41</f>
        <v/>
      </c>
      <c r="N41" s="3" t="n">
        <v>0</v>
      </c>
      <c r="O41" s="3" t="n">
        <v>0</v>
      </c>
      <c r="P41" s="2">
        <f>IF(F41&lt;100,"종료 100마리 미만","")</f>
        <v/>
      </c>
    </row>
    <row r="42">
      <c r="A42" s="2">
        <f>RANK(K42,$K$2:$K$454)</f>
        <v/>
      </c>
      <c r="B42" s="2" t="inlineStr">
        <is>
          <t>제주특별자치도</t>
        </is>
      </c>
      <c r="C42" s="2" t="inlineStr">
        <is>
          <t>제주특별자치도</t>
        </is>
      </c>
      <c r="D42" s="2" t="inlineStr">
        <is>
          <t>제2동물보호센터</t>
        </is>
      </c>
      <c r="E42" s="2" t="inlineStr">
        <is>
          <t>350651202500001</t>
        </is>
      </c>
      <c r="F42" s="3">
        <f>SUM(G42:J42)</f>
        <v/>
      </c>
      <c r="G42" s="3" t="n">
        <v>1</v>
      </c>
      <c r="H42" s="3" t="n">
        <v>0</v>
      </c>
      <c r="I42" s="3" t="n">
        <v>0</v>
      </c>
      <c r="J42" s="3" t="n">
        <v>0</v>
      </c>
      <c r="K42" s="4">
        <f>G42/F42</f>
        <v/>
      </c>
      <c r="L42" s="4">
        <f>H42/F42</f>
        <v/>
      </c>
      <c r="M42" s="4">
        <f>I42/F42</f>
        <v/>
      </c>
      <c r="N42" s="3" t="n">
        <v>0</v>
      </c>
      <c r="O42" s="3" t="n">
        <v>0</v>
      </c>
      <c r="P42" s="2">
        <f>IF(F42&lt;100,"종료 100마리 미만","")</f>
        <v/>
      </c>
    </row>
    <row r="43">
      <c r="A43" s="2">
        <f>RANK(K43,$K$2:$K$454)</f>
        <v/>
      </c>
      <c r="B43" s="2" t="inlineStr">
        <is>
          <t>경상북도</t>
        </is>
      </c>
      <c r="C43" s="2" t="inlineStr">
        <is>
          <t>경상북도 안동시</t>
        </is>
      </c>
      <c r="D43" s="2" t="inlineStr">
        <is>
          <t>유기동물보호센터</t>
        </is>
      </c>
      <c r="E43" s="2" t="inlineStr">
        <is>
          <t>347507200900001</t>
        </is>
      </c>
      <c r="F43" s="3">
        <f>SUM(G43:J43)</f>
        <v/>
      </c>
      <c r="G43" s="3" t="n">
        <v>437</v>
      </c>
      <c r="H43" s="3" t="n">
        <v>0</v>
      </c>
      <c r="I43" s="3" t="n">
        <v>1</v>
      </c>
      <c r="J43" s="3" t="n">
        <v>6</v>
      </c>
      <c r="K43" s="4">
        <f>G43/F43</f>
        <v/>
      </c>
      <c r="L43" s="4">
        <f>H43/F43</f>
        <v/>
      </c>
      <c r="M43" s="4">
        <f>I43/F43</f>
        <v/>
      </c>
      <c r="N43" s="3" t="n">
        <v>169</v>
      </c>
      <c r="O43" s="3" t="n">
        <v>220</v>
      </c>
      <c r="P43" s="2">
        <f>IF(F43&lt;100,"종료 100마리 미만","")</f>
        <v/>
      </c>
    </row>
    <row r="44">
      <c r="A44" s="2">
        <f>RANK(K44,$K$2:$K$454)</f>
        <v/>
      </c>
      <c r="B44" s="2" t="inlineStr">
        <is>
          <t>서울특별시</t>
        </is>
      </c>
      <c r="C44" s="2" t="inlineStr">
        <is>
          <t>서울특별시 서대문구</t>
        </is>
      </c>
      <c r="D44" s="2" t="inlineStr">
        <is>
          <t>내품애센터</t>
        </is>
      </c>
      <c r="E44" s="2" t="inlineStr">
        <is>
          <t>311312202400001</t>
        </is>
      </c>
      <c r="F44" s="3">
        <f>SUM(G44:J44)</f>
        <v/>
      </c>
      <c r="G44" s="3" t="n">
        <v>56</v>
      </c>
      <c r="H44" s="3" t="n">
        <v>0</v>
      </c>
      <c r="I44" s="3" t="n">
        <v>1</v>
      </c>
      <c r="J44" s="3" t="n">
        <v>0</v>
      </c>
      <c r="K44" s="4">
        <f>G44/F44</f>
        <v/>
      </c>
      <c r="L44" s="4">
        <f>H44/F44</f>
        <v/>
      </c>
      <c r="M44" s="4">
        <f>I44/F44</f>
        <v/>
      </c>
      <c r="N44" s="3" t="n">
        <v>74</v>
      </c>
      <c r="O44" s="3" t="n">
        <v>9</v>
      </c>
      <c r="P44" s="2">
        <f>IF(F44&lt;100,"종료 100마리 미만","")</f>
        <v/>
      </c>
    </row>
    <row r="45">
      <c r="A45" s="2">
        <f>RANK(K45,$K$2:$K$454)</f>
        <v/>
      </c>
      <c r="B45" s="2" t="inlineStr">
        <is>
          <t>경기도</t>
        </is>
      </c>
      <c r="C45" s="2" t="inlineStr">
        <is>
          <t>경기도 구리시</t>
        </is>
      </c>
      <c r="D45" s="2" t="inlineStr">
        <is>
          <t>구리시 반려돌봄센터</t>
        </is>
      </c>
      <c r="E45" s="2" t="inlineStr">
        <is>
          <t>341398202300001</t>
        </is>
      </c>
      <c r="F45" s="3">
        <f>SUM(G45:J45)</f>
        <v/>
      </c>
      <c r="G45" s="3" t="n">
        <v>34</v>
      </c>
      <c r="H45" s="3" t="n">
        <v>0</v>
      </c>
      <c r="I45" s="3" t="n">
        <v>1</v>
      </c>
      <c r="J45" s="3" t="n">
        <v>0</v>
      </c>
      <c r="K45" s="4">
        <f>G45/F45</f>
        <v/>
      </c>
      <c r="L45" s="4">
        <f>H45/F45</f>
        <v/>
      </c>
      <c r="M45" s="4">
        <f>I45/F45</f>
        <v/>
      </c>
      <c r="N45" s="3" t="n">
        <v>4</v>
      </c>
      <c r="O45" s="3" t="n">
        <v>2</v>
      </c>
      <c r="P45" s="2">
        <f>IF(F45&lt;100,"종료 100마리 미만","")</f>
        <v/>
      </c>
    </row>
    <row r="46">
      <c r="A46" s="2">
        <f>RANK(K46,$K$2:$K$454)</f>
        <v/>
      </c>
      <c r="B46" s="2" t="inlineStr">
        <is>
          <t>경기도</t>
        </is>
      </c>
      <c r="C46" s="2" t="inlineStr">
        <is>
          <t>경기도 광명시</t>
        </is>
      </c>
      <c r="D46" s="2" t="inlineStr">
        <is>
          <t>광명반함센터</t>
        </is>
      </c>
      <c r="E46" s="2" t="inlineStr">
        <is>
          <t>341390202100002</t>
        </is>
      </c>
      <c r="F46" s="3">
        <f>SUM(G46:J46)</f>
        <v/>
      </c>
      <c r="G46" s="3" t="n">
        <v>28</v>
      </c>
      <c r="H46" s="3" t="n">
        <v>0</v>
      </c>
      <c r="I46" s="3" t="n">
        <v>1</v>
      </c>
      <c r="J46" s="3" t="n">
        <v>0</v>
      </c>
      <c r="K46" s="4">
        <f>G46/F46</f>
        <v/>
      </c>
      <c r="L46" s="4">
        <f>H46/F46</f>
        <v/>
      </c>
      <c r="M46" s="4">
        <f>I46/F46</f>
        <v/>
      </c>
      <c r="N46" s="3" t="n">
        <v>23</v>
      </c>
      <c r="O46" s="3" t="n">
        <v>0</v>
      </c>
      <c r="P46" s="2">
        <f>IF(F46&lt;100,"종료 100마리 미만","")</f>
        <v/>
      </c>
    </row>
    <row r="47">
      <c r="A47" s="2">
        <f>RANK(K47,$K$2:$K$454)</f>
        <v/>
      </c>
      <c r="B47" s="2" t="inlineStr">
        <is>
          <t>대구광역시</t>
        </is>
      </c>
      <c r="C47" s="2" t="inlineStr">
        <is>
          <t>대구광역시 수성구</t>
        </is>
      </c>
      <c r="D47" s="2" t="inlineStr">
        <is>
          <t>금강동물병원</t>
        </is>
      </c>
      <c r="E47" s="2" t="inlineStr">
        <is>
          <t>327346201800002</t>
        </is>
      </c>
      <c r="F47" s="3">
        <f>SUM(G47:J47)</f>
        <v/>
      </c>
      <c r="G47" s="3" t="n">
        <v>51</v>
      </c>
      <c r="H47" s="3" t="n">
        <v>0</v>
      </c>
      <c r="I47" s="3" t="n">
        <v>2</v>
      </c>
      <c r="J47" s="3" t="n">
        <v>0</v>
      </c>
      <c r="K47" s="4">
        <f>G47/F47</f>
        <v/>
      </c>
      <c r="L47" s="4">
        <f>H47/F47</f>
        <v/>
      </c>
      <c r="M47" s="4">
        <f>I47/F47</f>
        <v/>
      </c>
      <c r="N47" s="3" t="n">
        <v>46</v>
      </c>
      <c r="O47" s="3" t="n">
        <v>0</v>
      </c>
      <c r="P47" s="2">
        <f>IF(F47&lt;100,"종료 100마리 미만","")</f>
        <v/>
      </c>
    </row>
    <row r="48">
      <c r="A48" s="2">
        <f>RANK(K48,$K$2:$K$454)</f>
        <v/>
      </c>
      <c r="B48" s="2" t="inlineStr">
        <is>
          <t>경기도</t>
        </is>
      </c>
      <c r="C48" s="2" t="inlineStr">
        <is>
          <t>경기도 부천시</t>
        </is>
      </c>
      <c r="D48" s="2" t="inlineStr">
        <is>
          <t>가야동물병원</t>
        </is>
      </c>
      <c r="E48" s="2" t="inlineStr">
        <is>
          <t>341386201900003</t>
        </is>
      </c>
      <c r="F48" s="3">
        <f>SUM(G48:J48)</f>
        <v/>
      </c>
      <c r="G48" s="3" t="n">
        <v>42</v>
      </c>
      <c r="H48" s="3" t="n">
        <v>0</v>
      </c>
      <c r="I48" s="3" t="n">
        <v>1</v>
      </c>
      <c r="J48" s="3" t="n">
        <v>1</v>
      </c>
      <c r="K48" s="4">
        <f>G48/F48</f>
        <v/>
      </c>
      <c r="L48" s="4">
        <f>H48/F48</f>
        <v/>
      </c>
      <c r="M48" s="4">
        <f>I48/F48</f>
        <v/>
      </c>
      <c r="N48" s="3" t="n">
        <v>58</v>
      </c>
      <c r="O48" s="3" t="n">
        <v>0</v>
      </c>
      <c r="P48" s="2">
        <f>IF(F48&lt;100,"종료 100마리 미만","")</f>
        <v/>
      </c>
    </row>
    <row r="49">
      <c r="A49" s="2">
        <f>RANK(K49,$K$2:$K$454)</f>
        <v/>
      </c>
      <c r="B49" s="2" t="inlineStr">
        <is>
          <t>대구광역시</t>
        </is>
      </c>
      <c r="C49" s="2" t="inlineStr">
        <is>
          <t>대구광역시 서구</t>
        </is>
      </c>
      <c r="D49" s="2" t="inlineStr">
        <is>
          <t>대구시수의사회(삼성)</t>
        </is>
      </c>
      <c r="E49" s="2" t="inlineStr">
        <is>
          <t>327343201500001</t>
        </is>
      </c>
      <c r="F49" s="3">
        <f>SUM(G49:J49)</f>
        <v/>
      </c>
      <c r="G49" s="3" t="n">
        <v>80</v>
      </c>
      <c r="H49" s="3" t="n">
        <v>2</v>
      </c>
      <c r="I49" s="3" t="n">
        <v>2</v>
      </c>
      <c r="J49" s="3" t="n">
        <v>0</v>
      </c>
      <c r="K49" s="4">
        <f>G49/F49</f>
        <v/>
      </c>
      <c r="L49" s="4">
        <f>H49/F49</f>
        <v/>
      </c>
      <c r="M49" s="4">
        <f>I49/F49</f>
        <v/>
      </c>
      <c r="N49" s="3" t="n">
        <v>36</v>
      </c>
      <c r="O49" s="3" t="n">
        <v>0</v>
      </c>
      <c r="P49" s="2">
        <f>IF(F49&lt;100,"종료 100마리 미만","")</f>
        <v/>
      </c>
    </row>
    <row r="50">
      <c r="A50" s="2">
        <f>RANK(K50,$K$2:$K$454)</f>
        <v/>
      </c>
      <c r="B50" s="2" t="inlineStr">
        <is>
          <t>충청남도</t>
        </is>
      </c>
      <c r="C50" s="2" t="inlineStr">
        <is>
          <t>충청남도 논산시</t>
        </is>
      </c>
      <c r="D50" s="2" t="inlineStr">
        <is>
          <t>호크종합동물병원</t>
        </is>
      </c>
      <c r="E50" s="2" t="inlineStr">
        <is>
          <t>344454201700001</t>
        </is>
      </c>
      <c r="F50" s="3">
        <f>SUM(G50:J50)</f>
        <v/>
      </c>
      <c r="G50" s="3" t="n">
        <v>34</v>
      </c>
      <c r="H50" s="3" t="n">
        <v>0</v>
      </c>
      <c r="I50" s="3" t="n">
        <v>2</v>
      </c>
      <c r="J50" s="3" t="n">
        <v>0</v>
      </c>
      <c r="K50" s="4">
        <f>G50/F50</f>
        <v/>
      </c>
      <c r="L50" s="4">
        <f>H50/F50</f>
        <v/>
      </c>
      <c r="M50" s="4">
        <f>I50/F50</f>
        <v/>
      </c>
      <c r="N50" s="3" t="n">
        <v>13</v>
      </c>
      <c r="O50" s="3" t="n">
        <v>0</v>
      </c>
      <c r="P50" s="2">
        <f>IF(F50&lt;100,"종료 100마리 미만","")</f>
        <v/>
      </c>
    </row>
    <row r="51">
      <c r="A51" s="2">
        <f>RANK(K51,$K$2:$K$454)</f>
        <v/>
      </c>
      <c r="B51" s="2" t="inlineStr">
        <is>
          <t>대구광역시</t>
        </is>
      </c>
      <c r="C51" s="2" t="inlineStr">
        <is>
          <t>대구광역시 수성구</t>
        </is>
      </c>
      <c r="D51" s="2" t="inlineStr">
        <is>
          <t>신세계동물병원</t>
        </is>
      </c>
      <c r="E51" s="2" t="inlineStr">
        <is>
          <t>327346201500011</t>
        </is>
      </c>
      <c r="F51" s="3">
        <f>SUM(G51:J51)</f>
        <v/>
      </c>
      <c r="G51" s="3" t="n">
        <v>17</v>
      </c>
      <c r="H51" s="3" t="n">
        <v>0</v>
      </c>
      <c r="I51" s="3" t="n">
        <v>1</v>
      </c>
      <c r="J51" s="3" t="n">
        <v>0</v>
      </c>
      <c r="K51" s="4">
        <f>G51/F51</f>
        <v/>
      </c>
      <c r="L51" s="4">
        <f>H51/F51</f>
        <v/>
      </c>
      <c r="M51" s="4">
        <f>I51/F51</f>
        <v/>
      </c>
      <c r="N51" s="3" t="n">
        <v>37</v>
      </c>
      <c r="O51" s="3" t="n">
        <v>1</v>
      </c>
      <c r="P51" s="2">
        <f>IF(F51&lt;100,"종료 100마리 미만","")</f>
        <v/>
      </c>
    </row>
    <row r="52">
      <c r="A52" s="2">
        <f>RANK(K52,$K$2:$K$454)</f>
        <v/>
      </c>
      <c r="B52" s="2" t="inlineStr">
        <is>
          <t>경기도</t>
        </is>
      </c>
      <c r="C52" s="2" t="inlineStr">
        <is>
          <t>경기도 파주시</t>
        </is>
      </c>
      <c r="D52" s="2" t="inlineStr">
        <is>
          <t>행복한동물병원</t>
        </is>
      </c>
      <c r="E52" s="2" t="inlineStr">
        <is>
          <t>341406201300006</t>
        </is>
      </c>
      <c r="F52" s="3">
        <f>SUM(G52:J52)</f>
        <v/>
      </c>
      <c r="G52" s="3" t="n">
        <v>82</v>
      </c>
      <c r="H52" s="3" t="n">
        <v>5</v>
      </c>
      <c r="I52" s="3" t="n">
        <v>1</v>
      </c>
      <c r="J52" s="3" t="n">
        <v>0</v>
      </c>
      <c r="K52" s="4">
        <f>G52/F52</f>
        <v/>
      </c>
      <c r="L52" s="4">
        <f>H52/F52</f>
        <v/>
      </c>
      <c r="M52" s="4">
        <f>I52/F52</f>
        <v/>
      </c>
      <c r="N52" s="3" t="n">
        <v>8</v>
      </c>
      <c r="O52" s="3" t="n">
        <v>0</v>
      </c>
      <c r="P52" s="2">
        <f>IF(F52&lt;100,"종료 100마리 미만","")</f>
        <v/>
      </c>
    </row>
    <row r="53">
      <c r="A53" s="2">
        <f>RANK(K53,$K$2:$K$454)</f>
        <v/>
      </c>
      <c r="B53" s="2" t="inlineStr">
        <is>
          <t>서울특별시</t>
        </is>
      </c>
      <c r="C53" s="2" t="inlineStr">
        <is>
          <t>서울특별시 강동구</t>
        </is>
      </c>
      <c r="D53" s="2" t="inlineStr">
        <is>
          <t>강동리본센터(reborn)</t>
        </is>
      </c>
      <c r="E53" s="2" t="inlineStr">
        <is>
          <t>311324201700002</t>
        </is>
      </c>
      <c r="F53" s="3">
        <f>SUM(G53:J53)</f>
        <v/>
      </c>
      <c r="G53" s="3" t="n">
        <v>120</v>
      </c>
      <c r="H53" s="3" t="n">
        <v>2</v>
      </c>
      <c r="I53" s="3" t="n">
        <v>0</v>
      </c>
      <c r="J53" s="3" t="n">
        <v>8</v>
      </c>
      <c r="K53" s="4">
        <f>G53/F53</f>
        <v/>
      </c>
      <c r="L53" s="4">
        <f>H53/F53</f>
        <v/>
      </c>
      <c r="M53" s="4">
        <f>I53/F53</f>
        <v/>
      </c>
      <c r="N53" s="3" t="n">
        <v>195</v>
      </c>
      <c r="O53" s="3" t="n">
        <v>6</v>
      </c>
      <c r="P53" s="2">
        <f>IF(F53&lt;100,"종료 100마리 미만","")</f>
        <v/>
      </c>
    </row>
    <row r="54">
      <c r="A54" s="2">
        <f>RANK(K54,$K$2:$K$454)</f>
        <v/>
      </c>
      <c r="B54" s="2" t="inlineStr">
        <is>
          <t>경기도</t>
        </is>
      </c>
      <c r="C54" s="2" t="inlineStr">
        <is>
          <t>경기도 하남시</t>
        </is>
      </c>
      <c r="D54" s="2" t="inlineStr">
        <is>
          <t>하남동물병원</t>
        </is>
      </c>
      <c r="E54" s="2" t="inlineStr">
        <is>
          <t>341404201700002</t>
        </is>
      </c>
      <c r="F54" s="3">
        <f>SUM(G54:J54)</f>
        <v/>
      </c>
      <c r="G54" s="3" t="n">
        <v>716</v>
      </c>
      <c r="H54" s="3" t="n">
        <v>5</v>
      </c>
      <c r="I54" s="3" t="n">
        <v>59</v>
      </c>
      <c r="J54" s="3" t="n">
        <v>2</v>
      </c>
      <c r="K54" s="4">
        <f>G54/F54</f>
        <v/>
      </c>
      <c r="L54" s="4">
        <f>H54/F54</f>
        <v/>
      </c>
      <c r="M54" s="4">
        <f>I54/F54</f>
        <v/>
      </c>
      <c r="N54" s="3" t="n">
        <v>189</v>
      </c>
      <c r="O54" s="3" t="n">
        <v>0</v>
      </c>
      <c r="P54" s="2">
        <f>IF(F54&lt;100,"종료 100마리 미만","")</f>
        <v/>
      </c>
    </row>
    <row r="55">
      <c r="A55" s="2">
        <f>RANK(K55,$K$2:$K$454)</f>
        <v/>
      </c>
      <c r="B55" s="2" t="inlineStr">
        <is>
          <t>대구광역시</t>
        </is>
      </c>
      <c r="C55" s="2" t="inlineStr">
        <is>
          <t>대구광역시 수성구</t>
        </is>
      </c>
      <c r="D55" s="2" t="inlineStr">
        <is>
          <t>세인트동물병원</t>
        </is>
      </c>
      <c r="E55" s="2" t="inlineStr">
        <is>
          <t>327346202300002</t>
        </is>
      </c>
      <c r="F55" s="3">
        <f>SUM(G55:J55)</f>
        <v/>
      </c>
      <c r="G55" s="3" t="n">
        <v>21</v>
      </c>
      <c r="H55" s="3" t="n">
        <v>1</v>
      </c>
      <c r="I55" s="3" t="n">
        <v>1</v>
      </c>
      <c r="J55" s="3" t="n">
        <v>0</v>
      </c>
      <c r="K55" s="4">
        <f>G55/F55</f>
        <v/>
      </c>
      <c r="L55" s="4">
        <f>H55/F55</f>
        <v/>
      </c>
      <c r="M55" s="4">
        <f>I55/F55</f>
        <v/>
      </c>
      <c r="N55" s="3" t="n">
        <v>6</v>
      </c>
      <c r="O55" s="3" t="n">
        <v>0</v>
      </c>
      <c r="P55" s="2">
        <f>IF(F55&lt;100,"종료 100마리 미만","")</f>
        <v/>
      </c>
    </row>
    <row r="56">
      <c r="A56" s="2">
        <f>RANK(K56,$K$2:$K$454)</f>
        <v/>
      </c>
      <c r="B56" s="2" t="inlineStr">
        <is>
          <t>인천광역시</t>
        </is>
      </c>
      <c r="C56" s="2" t="inlineStr">
        <is>
          <t>인천광역시 부평구</t>
        </is>
      </c>
      <c r="D56" s="2" t="inlineStr">
        <is>
          <t>짱구네동물병원</t>
        </is>
      </c>
      <c r="E56" s="2" t="inlineStr">
        <is>
          <t>328354201900001</t>
        </is>
      </c>
      <c r="F56" s="3">
        <f>SUM(G56:J56)</f>
        <v/>
      </c>
      <c r="G56" s="3" t="n">
        <v>76</v>
      </c>
      <c r="H56" s="3" t="n">
        <v>0</v>
      </c>
      <c r="I56" s="3" t="n">
        <v>7</v>
      </c>
      <c r="J56" s="3" t="n">
        <v>1</v>
      </c>
      <c r="K56" s="4">
        <f>G56/F56</f>
        <v/>
      </c>
      <c r="L56" s="4">
        <f>H56/F56</f>
        <v/>
      </c>
      <c r="M56" s="4">
        <f>I56/F56</f>
        <v/>
      </c>
      <c r="N56" s="3" t="n">
        <v>126</v>
      </c>
      <c r="O56" s="3" t="n">
        <v>4</v>
      </c>
      <c r="P56" s="2">
        <f>IF(F56&lt;100,"종료 100마리 미만","")</f>
        <v/>
      </c>
    </row>
    <row r="57">
      <c r="A57" s="2">
        <f>RANK(K57,$K$2:$K$454)</f>
        <v/>
      </c>
      <c r="B57" s="2" t="inlineStr">
        <is>
          <t>서울특별시</t>
        </is>
      </c>
      <c r="C57" s="2" t="inlineStr">
        <is>
          <t>서울특별시 관악구</t>
        </is>
      </c>
      <c r="D57" s="2" t="inlineStr">
        <is>
          <t>러브펫종합동물병원</t>
        </is>
      </c>
      <c r="E57" s="2" t="inlineStr">
        <is>
          <t>311320201300001</t>
        </is>
      </c>
      <c r="F57" s="3">
        <f>SUM(G57:J57)</f>
        <v/>
      </c>
      <c r="G57" s="3" t="n">
        <v>131</v>
      </c>
      <c r="H57" s="3" t="n">
        <v>0</v>
      </c>
      <c r="I57" s="3" t="n">
        <v>8</v>
      </c>
      <c r="J57" s="3" t="n">
        <v>6</v>
      </c>
      <c r="K57" s="4">
        <f>G57/F57</f>
        <v/>
      </c>
      <c r="L57" s="4">
        <f>H57/F57</f>
        <v/>
      </c>
      <c r="M57" s="4">
        <f>I57/F57</f>
        <v/>
      </c>
      <c r="N57" s="3" t="n">
        <v>112</v>
      </c>
      <c r="O57" s="3" t="n">
        <v>0</v>
      </c>
      <c r="P57" s="2">
        <f>IF(F57&lt;100,"종료 100마리 미만","")</f>
        <v/>
      </c>
    </row>
    <row r="58">
      <c r="A58" s="2">
        <f>RANK(K58,$K$2:$K$454)</f>
        <v/>
      </c>
      <c r="B58" s="2" t="inlineStr">
        <is>
          <t>인천광역시</t>
        </is>
      </c>
      <c r="C58" s="2" t="inlineStr">
        <is>
          <t>인천광역시 부평구</t>
        </is>
      </c>
      <c r="D58" s="2" t="inlineStr">
        <is>
          <t>늘푸른동물병원</t>
        </is>
      </c>
      <c r="E58" s="2" t="inlineStr">
        <is>
          <t>328354201700002</t>
        </is>
      </c>
      <c r="F58" s="3">
        <f>SUM(G58:J58)</f>
        <v/>
      </c>
      <c r="G58" s="3" t="n">
        <v>163</v>
      </c>
      <c r="H58" s="3" t="n">
        <v>7</v>
      </c>
      <c r="I58" s="3" t="n">
        <v>4</v>
      </c>
      <c r="J58" s="3" t="n">
        <v>7</v>
      </c>
      <c r="K58" s="4">
        <f>G58/F58</f>
        <v/>
      </c>
      <c r="L58" s="4">
        <f>H58/F58</f>
        <v/>
      </c>
      <c r="M58" s="4">
        <f>I58/F58</f>
        <v/>
      </c>
      <c r="N58" s="3" t="n">
        <v>139</v>
      </c>
      <c r="O58" s="3" t="n">
        <v>0</v>
      </c>
      <c r="P58" s="2">
        <f>IF(F58&lt;100,"종료 100마리 미만","")</f>
        <v/>
      </c>
    </row>
    <row r="59">
      <c r="A59" s="2">
        <f>RANK(K59,$K$2:$K$454)</f>
        <v/>
      </c>
      <c r="B59" s="2" t="inlineStr">
        <is>
          <t>대구광역시</t>
        </is>
      </c>
      <c r="C59" s="2" t="inlineStr">
        <is>
          <t>대구광역시 수성구</t>
        </is>
      </c>
      <c r="D59" s="2" t="inlineStr">
        <is>
          <t>제니스동물병원</t>
        </is>
      </c>
      <c r="E59" s="2" t="inlineStr">
        <is>
          <t>327346201500009</t>
        </is>
      </c>
      <c r="F59" s="3">
        <f>SUM(G59:J59)</f>
        <v/>
      </c>
      <c r="G59" s="3" t="n">
        <v>207</v>
      </c>
      <c r="H59" s="3" t="n">
        <v>7</v>
      </c>
      <c r="I59" s="3" t="n">
        <v>17</v>
      </c>
      <c r="J59" s="3" t="n">
        <v>0</v>
      </c>
      <c r="K59" s="4">
        <f>G59/F59</f>
        <v/>
      </c>
      <c r="L59" s="4">
        <f>H59/F59</f>
        <v/>
      </c>
      <c r="M59" s="4">
        <f>I59/F59</f>
        <v/>
      </c>
      <c r="N59" s="3" t="n">
        <v>214</v>
      </c>
      <c r="O59" s="3" t="n">
        <v>0</v>
      </c>
      <c r="P59" s="2">
        <f>IF(F59&lt;100,"종료 100마리 미만","")</f>
        <v/>
      </c>
    </row>
    <row r="60">
      <c r="A60" s="2">
        <f>RANK(K60,$K$2:$K$454)</f>
        <v/>
      </c>
      <c r="B60" s="2" t="inlineStr">
        <is>
          <t>대구광역시</t>
        </is>
      </c>
      <c r="C60" s="2" t="inlineStr">
        <is>
          <t>대구광역시 서구</t>
        </is>
      </c>
      <c r="D60" s="2" t="inlineStr">
        <is>
          <t>대구시수의사회(보경)</t>
        </is>
      </c>
      <c r="E60" s="2" t="inlineStr">
        <is>
          <t>327343201500003</t>
        </is>
      </c>
      <c r="F60" s="3">
        <f>SUM(G60:J60)</f>
        <v/>
      </c>
      <c r="G60" s="3" t="n">
        <v>93</v>
      </c>
      <c r="H60" s="3" t="n">
        <v>7</v>
      </c>
      <c r="I60" s="3" t="n">
        <v>4</v>
      </c>
      <c r="J60" s="3" t="n">
        <v>0</v>
      </c>
      <c r="K60" s="4">
        <f>G60/F60</f>
        <v/>
      </c>
      <c r="L60" s="4">
        <f>H60/F60</f>
        <v/>
      </c>
      <c r="M60" s="4">
        <f>I60/F60</f>
        <v/>
      </c>
      <c r="N60" s="3" t="n">
        <v>85</v>
      </c>
      <c r="O60" s="3" t="n">
        <v>0</v>
      </c>
      <c r="P60" s="2">
        <f>IF(F60&lt;100,"종료 100마리 미만","")</f>
        <v/>
      </c>
    </row>
    <row r="61">
      <c r="A61" s="2">
        <f>RANK(K61,$K$2:$K$454)</f>
        <v/>
      </c>
      <c r="B61" s="2" t="inlineStr">
        <is>
          <t>전북특별자치도</t>
        </is>
      </c>
      <c r="C61" s="2" t="inlineStr">
        <is>
          <t>전북특별자치도 무주군</t>
        </is>
      </c>
      <c r="D61" s="2" t="inlineStr">
        <is>
          <t>무주군</t>
        </is>
      </c>
      <c r="E61" s="2" t="inlineStr">
        <is>
          <t>345474200900001</t>
        </is>
      </c>
      <c r="F61" s="3">
        <f>SUM(G61:J61)</f>
        <v/>
      </c>
      <c r="G61" s="3" t="n">
        <v>48</v>
      </c>
      <c r="H61" s="3" t="n">
        <v>4</v>
      </c>
      <c r="I61" s="3" t="n">
        <v>2</v>
      </c>
      <c r="J61" s="3" t="n">
        <v>0</v>
      </c>
      <c r="K61" s="4">
        <f>G61/F61</f>
        <v/>
      </c>
      <c r="L61" s="4">
        <f>H61/F61</f>
        <v/>
      </c>
      <c r="M61" s="4">
        <f>I61/F61</f>
        <v/>
      </c>
      <c r="N61" s="3" t="n">
        <v>34</v>
      </c>
      <c r="O61" s="3" t="n">
        <v>0</v>
      </c>
      <c r="P61" s="2">
        <f>IF(F61&lt;100,"종료 100마리 미만","")</f>
        <v/>
      </c>
    </row>
    <row r="62">
      <c r="A62" s="2">
        <f>RANK(K62,$K$2:$K$454)</f>
        <v/>
      </c>
      <c r="B62" s="2" t="inlineStr">
        <is>
          <t>인천광역시</t>
        </is>
      </c>
      <c r="C62" s="2" t="inlineStr">
        <is>
          <t>인천광역시 부평구</t>
        </is>
      </c>
      <c r="D62" s="2" t="inlineStr">
        <is>
          <t>세림동물병원</t>
        </is>
      </c>
      <c r="E62" s="2" t="inlineStr">
        <is>
          <t>328354201600001</t>
        </is>
      </c>
      <c r="F62" s="3">
        <f>SUM(G62:J62)</f>
        <v/>
      </c>
      <c r="G62" s="3" t="n">
        <v>16</v>
      </c>
      <c r="H62" s="3" t="n">
        <v>1</v>
      </c>
      <c r="I62" s="3" t="n">
        <v>1</v>
      </c>
      <c r="J62" s="3" t="n">
        <v>0</v>
      </c>
      <c r="K62" s="4">
        <f>G62/F62</f>
        <v/>
      </c>
      <c r="L62" s="4">
        <f>H62/F62</f>
        <v/>
      </c>
      <c r="M62" s="4">
        <f>I62/F62</f>
        <v/>
      </c>
      <c r="N62" s="3" t="n">
        <v>25</v>
      </c>
      <c r="O62" s="3" t="n">
        <v>0</v>
      </c>
      <c r="P62" s="2">
        <f>IF(F62&lt;100,"종료 100마리 미만","")</f>
        <v/>
      </c>
    </row>
    <row r="63">
      <c r="A63" s="2">
        <f>RANK(K63,$K$2:$K$454)</f>
        <v/>
      </c>
      <c r="B63" s="2" t="inlineStr">
        <is>
          <t>충청남도</t>
        </is>
      </c>
      <c r="C63" s="2" t="inlineStr">
        <is>
          <t>충청남도 아산시</t>
        </is>
      </c>
      <c r="D63" s="2" t="inlineStr">
        <is>
          <t>중부벳동물병원</t>
        </is>
      </c>
      <c r="E63" s="2" t="inlineStr">
        <is>
          <t>344452201600001</t>
        </is>
      </c>
      <c r="F63" s="3">
        <f>SUM(G63:J63)</f>
        <v/>
      </c>
      <c r="G63" s="3" t="n">
        <v>1124</v>
      </c>
      <c r="H63" s="3" t="n">
        <v>77</v>
      </c>
      <c r="I63" s="3" t="n">
        <v>43</v>
      </c>
      <c r="J63" s="3" t="n">
        <v>21</v>
      </c>
      <c r="K63" s="4">
        <f>G63/F63</f>
        <v/>
      </c>
      <c r="L63" s="4">
        <f>H63/F63</f>
        <v/>
      </c>
      <c r="M63" s="4">
        <f>I63/F63</f>
        <v/>
      </c>
      <c r="N63" s="3" t="n">
        <v>298</v>
      </c>
      <c r="O63" s="3" t="n">
        <v>0</v>
      </c>
      <c r="P63" s="2">
        <f>IF(F63&lt;100,"종료 100마리 미만","")</f>
        <v/>
      </c>
    </row>
    <row r="64">
      <c r="A64" s="2">
        <f>RANK(K64,$K$2:$K$454)</f>
        <v/>
      </c>
      <c r="B64" s="2" t="inlineStr">
        <is>
          <t>제주특별자치도</t>
        </is>
      </c>
      <c r="C64" s="2" t="inlineStr">
        <is>
          <t>제주특별자치도</t>
        </is>
      </c>
      <c r="D64" s="2" t="inlineStr">
        <is>
          <t>제2동물보호센터</t>
        </is>
      </c>
      <c r="E64" s="2" t="inlineStr">
        <is>
          <t>350650202600001</t>
        </is>
      </c>
      <c r="F64" s="3">
        <f>SUM(G64:J64)</f>
        <v/>
      </c>
      <c r="G64" s="3" t="n">
        <v>39</v>
      </c>
      <c r="H64" s="3" t="n">
        <v>0</v>
      </c>
      <c r="I64" s="3" t="n">
        <v>3</v>
      </c>
      <c r="J64" s="3" t="n">
        <v>2</v>
      </c>
      <c r="K64" s="4">
        <f>G64/F64</f>
        <v/>
      </c>
      <c r="L64" s="4">
        <f>H64/F64</f>
        <v/>
      </c>
      <c r="M64" s="4">
        <f>I64/F64</f>
        <v/>
      </c>
      <c r="N64" s="3" t="n">
        <v>0</v>
      </c>
      <c r="O64" s="3" t="n">
        <v>35</v>
      </c>
      <c r="P64" s="2">
        <f>IF(F64&lt;100,"종료 100마리 미만","")</f>
        <v/>
      </c>
    </row>
    <row r="65">
      <c r="A65" s="2">
        <f>RANK(K65,$K$2:$K$454)</f>
        <v/>
      </c>
      <c r="B65" s="2" t="inlineStr">
        <is>
          <t>서울특별시</t>
        </is>
      </c>
      <c r="C65" s="2" t="inlineStr">
        <is>
          <t>서울특별시 용산구</t>
        </is>
      </c>
      <c r="D65" s="2" t="inlineStr">
        <is>
          <t>21세기동물병원</t>
        </is>
      </c>
      <c r="E65" s="2" t="inlineStr">
        <is>
          <t>311302201000003</t>
        </is>
      </c>
      <c r="F65" s="3">
        <f>SUM(G65:J65)</f>
        <v/>
      </c>
      <c r="G65" s="3" t="n">
        <v>15</v>
      </c>
      <c r="H65" s="3" t="n">
        <v>0</v>
      </c>
      <c r="I65" s="3" t="n">
        <v>0</v>
      </c>
      <c r="J65" s="3" t="n">
        <v>2</v>
      </c>
      <c r="K65" s="4">
        <f>G65/F65</f>
        <v/>
      </c>
      <c r="L65" s="4">
        <f>H65/F65</f>
        <v/>
      </c>
      <c r="M65" s="4">
        <f>I65/F65</f>
        <v/>
      </c>
      <c r="N65" s="3" t="n">
        <v>22</v>
      </c>
      <c r="O65" s="3" t="n">
        <v>0</v>
      </c>
      <c r="P65" s="2">
        <f>IF(F65&lt;100,"종료 100마리 미만","")</f>
        <v/>
      </c>
    </row>
    <row r="66">
      <c r="A66" s="2">
        <f>RANK(K66,$K$2:$K$454)</f>
        <v/>
      </c>
      <c r="B66" s="2" t="inlineStr">
        <is>
          <t>대구광역시</t>
        </is>
      </c>
      <c r="C66" s="2" t="inlineStr">
        <is>
          <t>대구광역시 수성구</t>
        </is>
      </c>
      <c r="D66" s="2" t="inlineStr">
        <is>
          <t>멘토동물병원</t>
        </is>
      </c>
      <c r="E66" s="2" t="inlineStr">
        <is>
          <t>327346202300001</t>
        </is>
      </c>
      <c r="F66" s="3">
        <f>SUM(G66:J66)</f>
        <v/>
      </c>
      <c r="G66" s="3" t="n">
        <v>35</v>
      </c>
      <c r="H66" s="3" t="n">
        <v>0</v>
      </c>
      <c r="I66" s="3" t="n">
        <v>5</v>
      </c>
      <c r="J66" s="3" t="n">
        <v>0</v>
      </c>
      <c r="K66" s="4">
        <f>G66/F66</f>
        <v/>
      </c>
      <c r="L66" s="4">
        <f>H66/F66</f>
        <v/>
      </c>
      <c r="M66" s="4">
        <f>I66/F66</f>
        <v/>
      </c>
      <c r="N66" s="3" t="n">
        <v>26</v>
      </c>
      <c r="O66" s="3" t="n">
        <v>0</v>
      </c>
      <c r="P66" s="2">
        <f>IF(F66&lt;100,"종료 100마리 미만","")</f>
        <v/>
      </c>
    </row>
    <row r="67">
      <c r="A67" s="2">
        <f>RANK(K67,$K$2:$K$454)</f>
        <v/>
      </c>
      <c r="B67" s="2" t="inlineStr">
        <is>
          <t>대구광역시</t>
        </is>
      </c>
      <c r="C67" s="2" t="inlineStr">
        <is>
          <t>대구광역시 달성군</t>
        </is>
      </c>
      <c r="D67" s="2" t="inlineStr">
        <is>
          <t>동행동물병원</t>
        </is>
      </c>
      <c r="E67" s="2" t="inlineStr">
        <is>
          <t>327348202300001</t>
        </is>
      </c>
      <c r="F67" s="3">
        <f>SUM(G67:J67)</f>
        <v/>
      </c>
      <c r="G67" s="3" t="n">
        <v>79</v>
      </c>
      <c r="H67" s="3" t="n">
        <v>10</v>
      </c>
      <c r="I67" s="3" t="n">
        <v>2</v>
      </c>
      <c r="J67" s="3" t="n">
        <v>0</v>
      </c>
      <c r="K67" s="4">
        <f>G67/F67</f>
        <v/>
      </c>
      <c r="L67" s="4">
        <f>H67/F67</f>
        <v/>
      </c>
      <c r="M67" s="4">
        <f>I67/F67</f>
        <v/>
      </c>
      <c r="N67" s="3" t="n">
        <v>16</v>
      </c>
      <c r="O67" s="3" t="n">
        <v>1</v>
      </c>
      <c r="P67" s="2">
        <f>IF(F67&lt;100,"종료 100마리 미만","")</f>
        <v/>
      </c>
    </row>
    <row r="68">
      <c r="A68" s="2">
        <f>RANK(K68,$K$2:$K$454)</f>
        <v/>
      </c>
      <c r="B68" s="2" t="inlineStr">
        <is>
          <t>대구광역시</t>
        </is>
      </c>
      <c r="C68" s="2" t="inlineStr">
        <is>
          <t>대구광역시 수성구</t>
        </is>
      </c>
      <c r="D68" s="2" t="inlineStr">
        <is>
          <t>펫동물병원</t>
        </is>
      </c>
      <c r="E68" s="2" t="inlineStr">
        <is>
          <t>327346201900001</t>
        </is>
      </c>
      <c r="F68" s="3">
        <f>SUM(G68:J68)</f>
        <v/>
      </c>
      <c r="G68" s="3" t="n">
        <v>64</v>
      </c>
      <c r="H68" s="3" t="n">
        <v>7</v>
      </c>
      <c r="I68" s="3" t="n">
        <v>4</v>
      </c>
      <c r="J68" s="3" t="n">
        <v>0</v>
      </c>
      <c r="K68" s="4">
        <f>G68/F68</f>
        <v/>
      </c>
      <c r="L68" s="4">
        <f>H68/F68</f>
        <v/>
      </c>
      <c r="M68" s="4">
        <f>I68/F68</f>
        <v/>
      </c>
      <c r="N68" s="3" t="n">
        <v>28</v>
      </c>
      <c r="O68" s="3" t="n">
        <v>0</v>
      </c>
      <c r="P68" s="2">
        <f>IF(F68&lt;100,"종료 100마리 미만","")</f>
        <v/>
      </c>
    </row>
    <row r="69">
      <c r="A69" s="2">
        <f>RANK(K69,$K$2:$K$454)</f>
        <v/>
      </c>
      <c r="B69" s="2" t="inlineStr">
        <is>
          <t>충청남도</t>
        </is>
      </c>
      <c r="C69" s="2" t="inlineStr">
        <is>
          <t>충청남도 천안시</t>
        </is>
      </c>
      <c r="D69" s="2" t="inlineStr">
        <is>
          <t>(구)민간동물보호소</t>
        </is>
      </c>
      <c r="E69" s="2" t="inlineStr">
        <is>
          <t>344449201200001</t>
        </is>
      </c>
      <c r="F69" s="3">
        <f>SUM(G69:J69)</f>
        <v/>
      </c>
      <c r="G69" s="3" t="n">
        <v>23</v>
      </c>
      <c r="H69" s="3" t="n">
        <v>0</v>
      </c>
      <c r="I69" s="3" t="n">
        <v>3</v>
      </c>
      <c r="J69" s="3" t="n">
        <v>1</v>
      </c>
      <c r="K69" s="4">
        <f>G69/F69</f>
        <v/>
      </c>
      <c r="L69" s="4">
        <f>H69/F69</f>
        <v/>
      </c>
      <c r="M69" s="4">
        <f>I69/F69</f>
        <v/>
      </c>
      <c r="N69" s="3" t="n">
        <v>11</v>
      </c>
      <c r="O69" s="3" t="n">
        <v>0</v>
      </c>
      <c r="P69" s="2">
        <f>IF(F69&lt;100,"종료 100마리 미만","")</f>
        <v/>
      </c>
    </row>
    <row r="70">
      <c r="A70" s="2">
        <f>RANK(K70,$K$2:$K$454)</f>
        <v/>
      </c>
      <c r="B70" s="2" t="inlineStr">
        <is>
          <t>경기도</t>
        </is>
      </c>
      <c r="C70" s="2" t="inlineStr">
        <is>
          <t>경기도 하남시</t>
        </is>
      </c>
      <c r="D70" s="2" t="inlineStr">
        <is>
          <t>하남동물보호센터</t>
        </is>
      </c>
      <c r="E70" s="2" t="inlineStr">
        <is>
          <t>341404202300004</t>
        </is>
      </c>
      <c r="F70" s="3">
        <f>SUM(G70:J70)</f>
        <v/>
      </c>
      <c r="G70" s="3" t="n">
        <v>131</v>
      </c>
      <c r="H70" s="3" t="n">
        <v>0</v>
      </c>
      <c r="I70" s="3" t="n">
        <v>9</v>
      </c>
      <c r="J70" s="3" t="n">
        <v>15</v>
      </c>
      <c r="K70" s="4">
        <f>G70/F70</f>
        <v/>
      </c>
      <c r="L70" s="4">
        <f>H70/F70</f>
        <v/>
      </c>
      <c r="M70" s="4">
        <f>I70/F70</f>
        <v/>
      </c>
      <c r="N70" s="3" t="n">
        <v>43</v>
      </c>
      <c r="O70" s="3" t="n">
        <v>8</v>
      </c>
      <c r="P70" s="2">
        <f>IF(F70&lt;100,"종료 100마리 미만","")</f>
        <v/>
      </c>
    </row>
    <row r="71">
      <c r="A71" s="2">
        <f>RANK(K71,$K$2:$K$454)</f>
        <v/>
      </c>
      <c r="B71" s="2" t="inlineStr">
        <is>
          <t>강원특별자치도</t>
        </is>
      </c>
      <c r="C71" s="2" t="inlineStr">
        <is>
          <t>강원특별자치도 강릉시</t>
        </is>
      </c>
      <c r="D71" s="2" t="inlineStr">
        <is>
          <t>강릉시 동물사랑센터</t>
        </is>
      </c>
      <c r="E71" s="2" t="inlineStr">
        <is>
          <t>342420201500001</t>
        </is>
      </c>
      <c r="F71" s="3">
        <f>SUM(G71:J71)</f>
        <v/>
      </c>
      <c r="G71" s="3" t="n">
        <v>1357</v>
      </c>
      <c r="H71" s="3" t="n">
        <v>156</v>
      </c>
      <c r="I71" s="3" t="n">
        <v>97</v>
      </c>
      <c r="J71" s="3" t="n">
        <v>0</v>
      </c>
      <c r="K71" s="4">
        <f>G71/F71</f>
        <v/>
      </c>
      <c r="L71" s="4">
        <f>H71/F71</f>
        <v/>
      </c>
      <c r="M71" s="4">
        <f>I71/F71</f>
        <v/>
      </c>
      <c r="N71" s="3" t="n">
        <v>556</v>
      </c>
      <c r="O71" s="3" t="n">
        <v>89</v>
      </c>
      <c r="P71" s="2">
        <f>IF(F71&lt;100,"종료 100마리 미만","")</f>
        <v/>
      </c>
    </row>
    <row r="72">
      <c r="A72" s="2">
        <f>RANK(K72,$K$2:$K$454)</f>
        <v/>
      </c>
      <c r="B72" s="2" t="inlineStr">
        <is>
          <t>울산광역시</t>
        </is>
      </c>
      <c r="C72" s="2" t="inlineStr">
        <is>
          <t>울산광역시 동구</t>
        </is>
      </c>
      <c r="D72" s="2" t="inlineStr">
        <is>
          <t>동울산동물병원</t>
        </is>
      </c>
      <c r="E72" s="2" t="inlineStr">
        <is>
          <t>331371201000004</t>
        </is>
      </c>
      <c r="F72" s="3">
        <f>SUM(G72:J72)</f>
        <v/>
      </c>
      <c r="G72" s="3" t="n">
        <v>16</v>
      </c>
      <c r="H72" s="3" t="n">
        <v>2</v>
      </c>
      <c r="I72" s="3" t="n">
        <v>1</v>
      </c>
      <c r="J72" s="3" t="n">
        <v>0</v>
      </c>
      <c r="K72" s="4">
        <f>G72/F72</f>
        <v/>
      </c>
      <c r="L72" s="4">
        <f>H72/F72</f>
        <v/>
      </c>
      <c r="M72" s="4">
        <f>I72/F72</f>
        <v/>
      </c>
      <c r="N72" s="3" t="n">
        <v>6</v>
      </c>
      <c r="O72" s="3" t="n">
        <v>0</v>
      </c>
      <c r="P72" s="2">
        <f>IF(F72&lt;100,"종료 100마리 미만","")</f>
        <v/>
      </c>
    </row>
    <row r="73">
      <c r="A73" s="2">
        <f>RANK(K73,$K$2:$K$454)</f>
        <v/>
      </c>
      <c r="B73" s="2" t="inlineStr">
        <is>
          <t>경상북도</t>
        </is>
      </c>
      <c r="C73" s="2" t="inlineStr">
        <is>
          <t>경상북도 구미시</t>
        </is>
      </c>
      <c r="D73" s="2" t="inlineStr">
        <is>
          <t>반려동물 입양센터</t>
        </is>
      </c>
      <c r="E73" s="2" t="inlineStr">
        <is>
          <t>347508202300005</t>
        </is>
      </c>
      <c r="F73" s="3">
        <f>SUM(G73:J73)</f>
        <v/>
      </c>
      <c r="G73" s="3" t="n">
        <v>117</v>
      </c>
      <c r="H73" s="3" t="n">
        <v>4</v>
      </c>
      <c r="I73" s="3" t="n">
        <v>8</v>
      </c>
      <c r="J73" s="3" t="n">
        <v>12</v>
      </c>
      <c r="K73" s="4">
        <f>G73/F73</f>
        <v/>
      </c>
      <c r="L73" s="4">
        <f>H73/F73</f>
        <v/>
      </c>
      <c r="M73" s="4">
        <f>I73/F73</f>
        <v/>
      </c>
      <c r="N73" s="3" t="n">
        <v>51</v>
      </c>
      <c r="O73" s="3" t="n">
        <v>1</v>
      </c>
      <c r="P73" s="2">
        <f>IF(F73&lt;100,"종료 100마리 미만","")</f>
        <v/>
      </c>
    </row>
    <row r="74">
      <c r="A74" s="2">
        <f>RANK(K74,$K$2:$K$454)</f>
        <v/>
      </c>
      <c r="B74" s="2" t="inlineStr">
        <is>
          <t>전북특별자치도</t>
        </is>
      </c>
      <c r="C74" s="2" t="inlineStr">
        <is>
          <t>전북특별자치도 전주시</t>
        </is>
      </c>
      <c r="D74" s="2" t="inlineStr">
        <is>
          <t>동부동물병원</t>
        </is>
      </c>
      <c r="E74" s="2" t="inlineStr">
        <is>
          <t>345464201100004</t>
        </is>
      </c>
      <c r="F74" s="3">
        <f>SUM(G74:J74)</f>
        <v/>
      </c>
      <c r="G74" s="3" t="n">
        <v>208</v>
      </c>
      <c r="H74" s="3" t="n">
        <v>18</v>
      </c>
      <c r="I74" s="3" t="n">
        <v>15</v>
      </c>
      <c r="J74" s="3" t="n">
        <v>11</v>
      </c>
      <c r="K74" s="4">
        <f>G74/F74</f>
        <v/>
      </c>
      <c r="L74" s="4">
        <f>H74/F74</f>
        <v/>
      </c>
      <c r="M74" s="4">
        <f>I74/F74</f>
        <v/>
      </c>
      <c r="N74" s="3" t="n">
        <v>102</v>
      </c>
      <c r="O74" s="3" t="n">
        <v>0</v>
      </c>
      <c r="P74" s="2">
        <f>IF(F74&lt;100,"종료 100마리 미만","")</f>
        <v/>
      </c>
    </row>
    <row r="75">
      <c r="A75" s="2">
        <f>RANK(K75,$K$2:$K$454)</f>
        <v/>
      </c>
      <c r="B75" s="2" t="inlineStr">
        <is>
          <t>경기도</t>
        </is>
      </c>
      <c r="C75" s="2" t="inlineStr">
        <is>
          <t>경기도 파주시</t>
        </is>
      </c>
      <c r="D75" s="2" t="inlineStr">
        <is>
          <t>로뎀동물병원</t>
        </is>
      </c>
      <c r="E75" s="2" t="inlineStr">
        <is>
          <t>341406201700009</t>
        </is>
      </c>
      <c r="F75" s="3">
        <f>SUM(G75:J75)</f>
        <v/>
      </c>
      <c r="G75" s="3" t="n">
        <v>70</v>
      </c>
      <c r="H75" s="3" t="n">
        <v>1</v>
      </c>
      <c r="I75" s="3" t="n">
        <v>1</v>
      </c>
      <c r="J75" s="3" t="n">
        <v>13</v>
      </c>
      <c r="K75" s="4">
        <f>G75/F75</f>
        <v/>
      </c>
      <c r="L75" s="4">
        <f>H75/F75</f>
        <v/>
      </c>
      <c r="M75" s="4">
        <f>I75/F75</f>
        <v/>
      </c>
      <c r="N75" s="3" t="n">
        <v>9</v>
      </c>
      <c r="O75" s="3" t="n">
        <v>1</v>
      </c>
      <c r="P75" s="2">
        <f>IF(F75&lt;100,"종료 100마리 미만","")</f>
        <v/>
      </c>
    </row>
    <row r="76">
      <c r="A76" s="2">
        <f>RANK(K76,$K$2:$K$454)</f>
        <v/>
      </c>
      <c r="B76" s="2" t="inlineStr">
        <is>
          <t>경상북도</t>
        </is>
      </c>
      <c r="C76" s="2" t="inlineStr">
        <is>
          <t>경상북도 울진군</t>
        </is>
      </c>
      <c r="D76" s="2" t="inlineStr">
        <is>
          <t>울진군 동물보호센터</t>
        </is>
      </c>
      <c r="E76" s="2" t="inlineStr">
        <is>
          <t>347525202100001</t>
        </is>
      </c>
      <c r="F76" s="3">
        <f>SUM(G76:J76)</f>
        <v/>
      </c>
      <c r="G76" s="3" t="n">
        <v>1020</v>
      </c>
      <c r="H76" s="3" t="n">
        <v>84</v>
      </c>
      <c r="I76" s="3" t="n">
        <v>109</v>
      </c>
      <c r="J76" s="3" t="n">
        <v>32</v>
      </c>
      <c r="K76" s="4">
        <f>G76/F76</f>
        <v/>
      </c>
      <c r="L76" s="4">
        <f>H76/F76</f>
        <v/>
      </c>
      <c r="M76" s="4">
        <f>I76/F76</f>
        <v/>
      </c>
      <c r="N76" s="3" t="n">
        <v>65</v>
      </c>
      <c r="O76" s="3" t="n">
        <v>4</v>
      </c>
      <c r="P76" s="2">
        <f>IF(F76&lt;100,"종료 100마리 미만","")</f>
        <v/>
      </c>
    </row>
    <row r="77">
      <c r="A77" s="2">
        <f>RANK(K77,$K$2:$K$454)</f>
        <v/>
      </c>
      <c r="B77" s="2" t="inlineStr">
        <is>
          <t>경상북도</t>
        </is>
      </c>
      <c r="C77" s="2" t="inlineStr">
        <is>
          <t>경상북도 울진군</t>
        </is>
      </c>
      <c r="D77" s="2" t="inlineStr">
        <is>
          <t>킴스동물병원</t>
        </is>
      </c>
      <c r="E77" s="2" t="inlineStr">
        <is>
          <t>347525201800001</t>
        </is>
      </c>
      <c r="F77" s="3">
        <f>SUM(G77:J77)</f>
        <v/>
      </c>
      <c r="G77" s="3" t="n">
        <v>9</v>
      </c>
      <c r="H77" s="3" t="n">
        <v>0</v>
      </c>
      <c r="I77" s="3" t="n">
        <v>1</v>
      </c>
      <c r="J77" s="3" t="n">
        <v>1</v>
      </c>
      <c r="K77" s="4">
        <f>G77/F77</f>
        <v/>
      </c>
      <c r="L77" s="4">
        <f>H77/F77</f>
        <v/>
      </c>
      <c r="M77" s="4">
        <f>I77/F77</f>
        <v/>
      </c>
      <c r="N77" s="3" t="n">
        <v>0</v>
      </c>
      <c r="O77" s="3" t="n">
        <v>0</v>
      </c>
      <c r="P77" s="2">
        <f>IF(F77&lt;100,"종료 100마리 미만","")</f>
        <v/>
      </c>
    </row>
    <row r="78">
      <c r="A78" s="2">
        <f>RANK(K78,$K$2:$K$454)</f>
        <v/>
      </c>
      <c r="B78" s="2" t="inlineStr">
        <is>
          <t>울산광역시</t>
        </is>
      </c>
      <c r="C78" s="2" t="inlineStr">
        <is>
          <t>울산광역시 동구</t>
        </is>
      </c>
      <c r="D78" s="2" t="inlineStr">
        <is>
          <t>일산동물의료센터</t>
        </is>
      </c>
      <c r="E78" s="2" t="inlineStr">
        <is>
          <t>331371201000001</t>
        </is>
      </c>
      <c r="F78" s="3">
        <f>SUM(G78:J78)</f>
        <v/>
      </c>
      <c r="G78" s="3" t="n">
        <v>30</v>
      </c>
      <c r="H78" s="3" t="n">
        <v>4</v>
      </c>
      <c r="I78" s="3" t="n">
        <v>3</v>
      </c>
      <c r="J78" s="3" t="n">
        <v>0</v>
      </c>
      <c r="K78" s="4">
        <f>G78/F78</f>
        <v/>
      </c>
      <c r="L78" s="4">
        <f>H78/F78</f>
        <v/>
      </c>
      <c r="M78" s="4">
        <f>I78/F78</f>
        <v/>
      </c>
      <c r="N78" s="3" t="n">
        <v>44</v>
      </c>
      <c r="O78" s="3" t="n">
        <v>0</v>
      </c>
      <c r="P78" s="2">
        <f>IF(F78&lt;100,"종료 100마리 미만","")</f>
        <v/>
      </c>
    </row>
    <row r="79">
      <c r="A79" s="2">
        <f>RANK(K79,$K$2:$K$454)</f>
        <v/>
      </c>
      <c r="B79" s="2" t="inlineStr">
        <is>
          <t>충청남도</t>
        </is>
      </c>
      <c r="C79" s="2" t="inlineStr">
        <is>
          <t>충청남도 예산군</t>
        </is>
      </c>
      <c r="D79" s="2" t="inlineStr">
        <is>
          <t>예산임시동물보호센터</t>
        </is>
      </c>
      <c r="E79" s="2" t="inlineStr">
        <is>
          <t>344461202400001</t>
        </is>
      </c>
      <c r="F79" s="3">
        <f>SUM(G79:J79)</f>
        <v/>
      </c>
      <c r="G79" s="3" t="n">
        <v>168</v>
      </c>
      <c r="H79" s="3" t="n">
        <v>0</v>
      </c>
      <c r="I79" s="3" t="n">
        <v>29</v>
      </c>
      <c r="J79" s="3" t="n">
        <v>11</v>
      </c>
      <c r="K79" s="4">
        <f>G79/F79</f>
        <v/>
      </c>
      <c r="L79" s="4">
        <f>H79/F79</f>
        <v/>
      </c>
      <c r="M79" s="4">
        <f>I79/F79</f>
        <v/>
      </c>
      <c r="N79" s="3" t="n">
        <v>31</v>
      </c>
      <c r="O79" s="3" t="n">
        <v>7</v>
      </c>
      <c r="P79" s="2">
        <f>IF(F79&lt;100,"종료 100마리 미만","")</f>
        <v/>
      </c>
    </row>
    <row r="80">
      <c r="A80" s="2">
        <f>RANK(K80,$K$2:$K$454)</f>
        <v/>
      </c>
      <c r="B80" s="2" t="inlineStr">
        <is>
          <t>경상남도</t>
        </is>
      </c>
      <c r="C80" s="2" t="inlineStr">
        <is>
          <t>경상남도 창원시 마산합포회원구</t>
        </is>
      </c>
      <c r="D80" s="2" t="inlineStr">
        <is>
          <t>TNR동물병원</t>
        </is>
      </c>
      <c r="E80" s="2" t="inlineStr">
        <is>
          <t>348528202100001</t>
        </is>
      </c>
      <c r="F80" s="3">
        <f>SUM(G80:J80)</f>
        <v/>
      </c>
      <c r="G80" s="3" t="n">
        <v>8</v>
      </c>
      <c r="H80" s="3" t="n">
        <v>0</v>
      </c>
      <c r="I80" s="3" t="n">
        <v>0</v>
      </c>
      <c r="J80" s="3" t="n">
        <v>2</v>
      </c>
      <c r="K80" s="4">
        <f>G80/F80</f>
        <v/>
      </c>
      <c r="L80" s="4">
        <f>H80/F80</f>
        <v/>
      </c>
      <c r="M80" s="4">
        <f>I80/F80</f>
        <v/>
      </c>
      <c r="N80" s="3" t="n">
        <v>6</v>
      </c>
      <c r="O80" s="3" t="n">
        <v>0</v>
      </c>
      <c r="P80" s="2">
        <f>IF(F80&lt;100,"종료 100마리 미만","")</f>
        <v/>
      </c>
    </row>
    <row r="81">
      <c r="A81" s="2">
        <f>RANK(K81,$K$2:$K$454)</f>
        <v/>
      </c>
      <c r="B81" s="2" t="inlineStr">
        <is>
          <t>전북특별자치도</t>
        </is>
      </c>
      <c r="C81" s="2" t="inlineStr">
        <is>
          <t>전북특별자치도 전주시</t>
        </is>
      </c>
      <c r="D81" s="2" t="inlineStr">
        <is>
          <t>하나동물병원</t>
        </is>
      </c>
      <c r="E81" s="2" t="inlineStr">
        <is>
          <t>345464201300003</t>
        </is>
      </c>
      <c r="F81" s="3">
        <f>SUM(G81:J81)</f>
        <v/>
      </c>
      <c r="G81" s="3" t="n">
        <v>69</v>
      </c>
      <c r="H81" s="3" t="n">
        <v>7</v>
      </c>
      <c r="I81" s="3" t="n">
        <v>12</v>
      </c>
      <c r="J81" s="3" t="n">
        <v>0</v>
      </c>
      <c r="K81" s="4">
        <f>G81/F81</f>
        <v/>
      </c>
      <c r="L81" s="4">
        <f>H81/F81</f>
        <v/>
      </c>
      <c r="M81" s="4">
        <f>I81/F81</f>
        <v/>
      </c>
      <c r="N81" s="3" t="n">
        <v>31</v>
      </c>
      <c r="O81" s="3" t="n">
        <v>0</v>
      </c>
      <c r="P81" s="2">
        <f>IF(F81&lt;100,"종료 100마리 미만","")</f>
        <v/>
      </c>
    </row>
    <row r="82">
      <c r="A82" s="2">
        <f>RANK(K82,$K$2:$K$454)</f>
        <v/>
      </c>
      <c r="B82" s="2" t="inlineStr">
        <is>
          <t>경기도</t>
        </is>
      </c>
      <c r="C82" s="2" t="inlineStr">
        <is>
          <t>경기도 파주시</t>
        </is>
      </c>
      <c r="D82" s="2" t="inlineStr">
        <is>
          <t>미엘동물병원</t>
        </is>
      </c>
      <c r="E82" s="2" t="inlineStr">
        <is>
          <t>341406201700003</t>
        </is>
      </c>
      <c r="F82" s="3">
        <f>SUM(G82:J82)</f>
        <v/>
      </c>
      <c r="G82" s="3" t="n">
        <v>18</v>
      </c>
      <c r="H82" s="3" t="n">
        <v>0</v>
      </c>
      <c r="I82" s="3" t="n">
        <v>0</v>
      </c>
      <c r="J82" s="3" t="n">
        <v>5</v>
      </c>
      <c r="K82" s="4">
        <f>G82/F82</f>
        <v/>
      </c>
      <c r="L82" s="4">
        <f>H82/F82</f>
        <v/>
      </c>
      <c r="M82" s="4">
        <f>I82/F82</f>
        <v/>
      </c>
      <c r="N82" s="3" t="n">
        <v>4</v>
      </c>
      <c r="O82" s="3" t="n">
        <v>0</v>
      </c>
      <c r="P82" s="2">
        <f>IF(F82&lt;100,"종료 100마리 미만","")</f>
        <v/>
      </c>
    </row>
    <row r="83">
      <c r="A83" s="2">
        <f>RANK(K83,$K$2:$K$454)</f>
        <v/>
      </c>
      <c r="B83" s="2" t="inlineStr">
        <is>
          <t>충청남도</t>
        </is>
      </c>
      <c r="C83" s="2" t="inlineStr">
        <is>
          <t>충청남도 홍성군</t>
        </is>
      </c>
      <c r="D83" s="2" t="inlineStr">
        <is>
          <t>홍성반려동물문화센터</t>
        </is>
      </c>
      <c r="E83" s="2" t="inlineStr">
        <is>
          <t>344460202500001</t>
        </is>
      </c>
      <c r="F83" s="3">
        <f>SUM(G83:J83)</f>
        <v/>
      </c>
      <c r="G83" s="3" t="n">
        <v>49</v>
      </c>
      <c r="H83" s="3" t="n">
        <v>0</v>
      </c>
      <c r="I83" s="3" t="n">
        <v>1</v>
      </c>
      <c r="J83" s="3" t="n">
        <v>13</v>
      </c>
      <c r="K83" s="4">
        <f>G83/F83</f>
        <v/>
      </c>
      <c r="L83" s="4">
        <f>H83/F83</f>
        <v/>
      </c>
      <c r="M83" s="4">
        <f>I83/F83</f>
        <v/>
      </c>
      <c r="N83" s="3" t="n">
        <v>6</v>
      </c>
      <c r="O83" s="3" t="n">
        <v>16</v>
      </c>
      <c r="P83" s="2">
        <f>IF(F83&lt;100,"종료 100마리 미만","")</f>
        <v/>
      </c>
    </row>
    <row r="84">
      <c r="A84" s="2">
        <f>RANK(K84,$K$2:$K$454)</f>
        <v/>
      </c>
      <c r="B84" s="2" t="inlineStr">
        <is>
          <t>인천광역시</t>
        </is>
      </c>
      <c r="C84" s="2" t="inlineStr">
        <is>
          <t>인천광역시 연수구</t>
        </is>
      </c>
      <c r="D84" s="2" t="inlineStr">
        <is>
          <t>경동동물병원</t>
        </is>
      </c>
      <c r="E84" s="2" t="inlineStr">
        <is>
          <t>328352202500002</t>
        </is>
      </c>
      <c r="F84" s="3">
        <f>SUM(G84:J84)</f>
        <v/>
      </c>
      <c r="G84" s="3" t="n">
        <v>28</v>
      </c>
      <c r="H84" s="3" t="n">
        <v>0</v>
      </c>
      <c r="I84" s="3" t="n">
        <v>8</v>
      </c>
      <c r="J84" s="3" t="n">
        <v>0</v>
      </c>
      <c r="K84" s="4">
        <f>G84/F84</f>
        <v/>
      </c>
      <c r="L84" s="4">
        <f>H84/F84</f>
        <v/>
      </c>
      <c r="M84" s="4">
        <f>I84/F84</f>
        <v/>
      </c>
      <c r="N84" s="3" t="n">
        <v>20</v>
      </c>
      <c r="O84" s="3" t="n">
        <v>0</v>
      </c>
      <c r="P84" s="2">
        <f>IF(F84&lt;100,"종료 100마리 미만","")</f>
        <v/>
      </c>
    </row>
    <row r="85">
      <c r="A85" s="2">
        <f>RANK(K85,$K$2:$K$454)</f>
        <v/>
      </c>
      <c r="B85" s="2" t="inlineStr">
        <is>
          <t>울산광역시</t>
        </is>
      </c>
      <c r="C85" s="2" t="inlineStr">
        <is>
          <t>울산광역시 남구</t>
        </is>
      </c>
      <c r="D85" s="2" t="inlineStr">
        <is>
          <t>사랑동물병원</t>
        </is>
      </c>
      <c r="E85" s="2" t="inlineStr">
        <is>
          <t>331370200900001</t>
        </is>
      </c>
      <c r="F85" s="3">
        <f>SUM(G85:J85)</f>
        <v/>
      </c>
      <c r="G85" s="3" t="n">
        <v>21</v>
      </c>
      <c r="H85" s="3" t="n">
        <v>1</v>
      </c>
      <c r="I85" s="3" t="n">
        <v>1</v>
      </c>
      <c r="J85" s="3" t="n">
        <v>4</v>
      </c>
      <c r="K85" s="4">
        <f>G85/F85</f>
        <v/>
      </c>
      <c r="L85" s="4">
        <f>H85/F85</f>
        <v/>
      </c>
      <c r="M85" s="4">
        <f>I85/F85</f>
        <v/>
      </c>
      <c r="N85" s="3" t="n">
        <v>34</v>
      </c>
      <c r="O85" s="3" t="n">
        <v>0</v>
      </c>
      <c r="P85" s="2">
        <f>IF(F85&lt;100,"종료 100마리 미만","")</f>
        <v/>
      </c>
    </row>
    <row r="86">
      <c r="A86" s="2">
        <f>RANK(K86,$K$2:$K$454)</f>
        <v/>
      </c>
      <c r="B86" s="2" t="inlineStr">
        <is>
          <t>경상남도</t>
        </is>
      </c>
      <c r="C86" s="2" t="inlineStr">
        <is>
          <t>경상남도 거창군</t>
        </is>
      </c>
      <c r="D86" s="2" t="inlineStr">
        <is>
          <t>거창군 동물보호소</t>
        </is>
      </c>
      <c r="E86" s="2" t="inlineStr">
        <is>
          <t>348547202500001</t>
        </is>
      </c>
      <c r="F86" s="3">
        <f>SUM(G86:J86)</f>
        <v/>
      </c>
      <c r="G86" s="3" t="n">
        <v>10</v>
      </c>
      <c r="H86" s="3" t="n">
        <v>2</v>
      </c>
      <c r="I86" s="3" t="n">
        <v>1</v>
      </c>
      <c r="J86" s="3" t="n">
        <v>0</v>
      </c>
      <c r="K86" s="4">
        <f>G86/F86</f>
        <v/>
      </c>
      <c r="L86" s="4">
        <f>H86/F86</f>
        <v/>
      </c>
      <c r="M86" s="4">
        <f>I86/F86</f>
        <v/>
      </c>
      <c r="N86" s="3" t="n">
        <v>1</v>
      </c>
      <c r="O86" s="3" t="n">
        <v>0</v>
      </c>
      <c r="P86" s="2">
        <f>IF(F86&lt;100,"종료 100마리 미만","")</f>
        <v/>
      </c>
    </row>
    <row r="87">
      <c r="A87" s="2">
        <f>RANK(K87,$K$2:$K$454)</f>
        <v/>
      </c>
      <c r="B87" s="2" t="inlineStr">
        <is>
          <t>인천광역시</t>
        </is>
      </c>
      <c r="C87" s="2" t="inlineStr">
        <is>
          <t>인천광역시 부평구</t>
        </is>
      </c>
      <c r="D87" s="2" t="inlineStr">
        <is>
          <t>조재진동물병원</t>
        </is>
      </c>
      <c r="E87" s="2" t="inlineStr">
        <is>
          <t>328354202000001</t>
        </is>
      </c>
      <c r="F87" s="3">
        <f>SUM(G87:J87)</f>
        <v/>
      </c>
      <c r="G87" s="3" t="n">
        <v>128</v>
      </c>
      <c r="H87" s="3" t="n">
        <v>15</v>
      </c>
      <c r="I87" s="3" t="n">
        <v>19</v>
      </c>
      <c r="J87" s="3" t="n">
        <v>5</v>
      </c>
      <c r="K87" s="4">
        <f>G87/F87</f>
        <v/>
      </c>
      <c r="L87" s="4">
        <f>H87/F87</f>
        <v/>
      </c>
      <c r="M87" s="4">
        <f>I87/F87</f>
        <v/>
      </c>
      <c r="N87" s="3" t="n">
        <v>182</v>
      </c>
      <c r="O87" s="3" t="n">
        <v>14</v>
      </c>
      <c r="P87" s="2">
        <f>IF(F87&lt;100,"종료 100마리 미만","")</f>
        <v/>
      </c>
    </row>
    <row r="88">
      <c r="A88" s="2">
        <f>RANK(K88,$K$2:$K$454)</f>
        <v/>
      </c>
      <c r="B88" s="2" t="inlineStr">
        <is>
          <t>경상북도</t>
        </is>
      </c>
      <c r="C88" s="2" t="inlineStr">
        <is>
          <t>경상북도 상주시</t>
        </is>
      </c>
      <c r="D88" s="2" t="inlineStr">
        <is>
          <t>상주시 동물보호센터</t>
        </is>
      </c>
      <c r="E88" s="2" t="inlineStr">
        <is>
          <t>347511202000001</t>
        </is>
      </c>
      <c r="F88" s="3">
        <f>SUM(G88:J88)</f>
        <v/>
      </c>
      <c r="G88" s="3" t="n">
        <v>1135</v>
      </c>
      <c r="H88" s="3" t="n">
        <v>114</v>
      </c>
      <c r="I88" s="3" t="n">
        <v>156</v>
      </c>
      <c r="J88" s="3" t="n">
        <v>98</v>
      </c>
      <c r="K88" s="4">
        <f>G88/F88</f>
        <v/>
      </c>
      <c r="L88" s="4">
        <f>H88/F88</f>
        <v/>
      </c>
      <c r="M88" s="4">
        <f>I88/F88</f>
        <v/>
      </c>
      <c r="N88" s="3" t="n">
        <v>178</v>
      </c>
      <c r="O88" s="3" t="n">
        <v>50</v>
      </c>
      <c r="P88" s="2">
        <f>IF(F88&lt;100,"종료 100마리 미만","")</f>
        <v/>
      </c>
    </row>
    <row r="89">
      <c r="A89" s="2">
        <f>RANK(K89,$K$2:$K$454)</f>
        <v/>
      </c>
      <c r="B89" s="2" t="inlineStr">
        <is>
          <t>경기도</t>
        </is>
      </c>
      <c r="C89" s="2" t="inlineStr">
        <is>
          <t>경기도 파주시</t>
        </is>
      </c>
      <c r="D89" s="2" t="inlineStr">
        <is>
          <t>파주24시동물병원</t>
        </is>
      </c>
      <c r="E89" s="2" t="inlineStr">
        <is>
          <t>341406201300005</t>
        </is>
      </c>
      <c r="F89" s="3">
        <f>SUM(G89:J89)</f>
        <v/>
      </c>
      <c r="G89" s="3" t="n">
        <v>58</v>
      </c>
      <c r="H89" s="3" t="n">
        <v>0</v>
      </c>
      <c r="I89" s="3" t="n">
        <v>5</v>
      </c>
      <c r="J89" s="3" t="n">
        <v>14</v>
      </c>
      <c r="K89" s="4">
        <f>G89/F89</f>
        <v/>
      </c>
      <c r="L89" s="4">
        <f>H89/F89</f>
        <v/>
      </c>
      <c r="M89" s="4">
        <f>I89/F89</f>
        <v/>
      </c>
      <c r="N89" s="3" t="n">
        <v>17</v>
      </c>
      <c r="O89" s="3" t="n">
        <v>0</v>
      </c>
      <c r="P89" s="2">
        <f>IF(F89&lt;100,"종료 100마리 미만","")</f>
        <v/>
      </c>
    </row>
    <row r="90">
      <c r="A90" s="2">
        <f>RANK(K90,$K$2:$K$454)</f>
        <v/>
      </c>
      <c r="B90" s="2" t="inlineStr">
        <is>
          <t>경상북도</t>
        </is>
      </c>
      <c r="C90" s="2" t="inlineStr">
        <is>
          <t>경상북도 칠곡군</t>
        </is>
      </c>
      <c r="D90" s="2" t="inlineStr">
        <is>
          <t>칠곡유기동물보호센터</t>
        </is>
      </c>
      <c r="E90" s="2" t="inlineStr">
        <is>
          <t>347522201400001</t>
        </is>
      </c>
      <c r="F90" s="3">
        <f>SUM(G90:J90)</f>
        <v/>
      </c>
      <c r="G90" s="3" t="n">
        <v>997</v>
      </c>
      <c r="H90" s="3" t="n">
        <v>142</v>
      </c>
      <c r="I90" s="3" t="n">
        <v>185</v>
      </c>
      <c r="J90" s="3" t="n">
        <v>0</v>
      </c>
      <c r="K90" s="4">
        <f>G90/F90</f>
        <v/>
      </c>
      <c r="L90" s="4">
        <f>H90/F90</f>
        <v/>
      </c>
      <c r="M90" s="4">
        <f>I90/F90</f>
        <v/>
      </c>
      <c r="N90" s="3" t="n">
        <v>85</v>
      </c>
      <c r="O90" s="3" t="n">
        <v>1</v>
      </c>
      <c r="P90" s="2">
        <f>IF(F90&lt;100,"종료 100마리 미만","")</f>
        <v/>
      </c>
    </row>
    <row r="91">
      <c r="A91" s="2">
        <f>RANK(K91,$K$2:$K$454)</f>
        <v/>
      </c>
      <c r="B91" s="2" t="inlineStr">
        <is>
          <t>경상남도</t>
        </is>
      </c>
      <c r="C91" s="2" t="inlineStr">
        <is>
          <t>경상남도 창원시 마산합포회원구</t>
        </is>
      </c>
      <c r="D91" s="2" t="inlineStr">
        <is>
          <t>마산유기동물보호소</t>
        </is>
      </c>
      <c r="E91" s="2" t="inlineStr">
        <is>
          <t>348528201000001</t>
        </is>
      </c>
      <c r="F91" s="3">
        <f>SUM(G91:J91)</f>
        <v/>
      </c>
      <c r="G91" s="3" t="n">
        <v>667</v>
      </c>
      <c r="H91" s="3" t="n">
        <v>58</v>
      </c>
      <c r="I91" s="3" t="n">
        <v>40</v>
      </c>
      <c r="J91" s="3" t="n">
        <v>124</v>
      </c>
      <c r="K91" s="4">
        <f>G91/F91</f>
        <v/>
      </c>
      <c r="L91" s="4">
        <f>H91/F91</f>
        <v/>
      </c>
      <c r="M91" s="4">
        <f>I91/F91</f>
        <v/>
      </c>
      <c r="N91" s="3" t="n">
        <v>481</v>
      </c>
      <c r="O91" s="3" t="n">
        <v>58</v>
      </c>
      <c r="P91" s="2">
        <f>IF(F91&lt;100,"종료 100마리 미만","")</f>
        <v/>
      </c>
    </row>
    <row r="92">
      <c r="A92" s="2">
        <f>RANK(K92,$K$2:$K$454)</f>
        <v/>
      </c>
      <c r="B92" s="2" t="inlineStr">
        <is>
          <t>인천광역시</t>
        </is>
      </c>
      <c r="C92" s="2" t="inlineStr">
        <is>
          <t>인천광역시 제물포구</t>
        </is>
      </c>
      <c r="D92" s="2" t="inlineStr">
        <is>
          <t>인천종합동물병원</t>
        </is>
      </c>
      <c r="E92" s="2" t="inlineStr">
        <is>
          <t>328350200900001</t>
        </is>
      </c>
      <c r="F92" s="3">
        <f>SUM(G92:J92)</f>
        <v/>
      </c>
      <c r="G92" s="3" t="n">
        <v>3</v>
      </c>
      <c r="H92" s="3" t="n">
        <v>1</v>
      </c>
      <c r="I92" s="3" t="n">
        <v>0</v>
      </c>
      <c r="J92" s="3" t="n">
        <v>0</v>
      </c>
      <c r="K92" s="4">
        <f>G92/F92</f>
        <v/>
      </c>
      <c r="L92" s="4">
        <f>H92/F92</f>
        <v/>
      </c>
      <c r="M92" s="4">
        <f>I92/F92</f>
        <v/>
      </c>
      <c r="N92" s="3" t="n">
        <v>3</v>
      </c>
      <c r="O92" s="3" t="n">
        <v>0</v>
      </c>
      <c r="P92" s="2">
        <f>IF(F92&lt;100,"종료 100마리 미만","")</f>
        <v/>
      </c>
    </row>
    <row r="93">
      <c r="A93" s="2">
        <f>RANK(K93,$K$2:$K$454)</f>
        <v/>
      </c>
      <c r="B93" s="2" t="inlineStr">
        <is>
          <t>전남광주통합특별시</t>
        </is>
      </c>
      <c r="C93" s="2" t="inlineStr">
        <is>
          <t>전남광주통합특별시 무안군</t>
        </is>
      </c>
      <c r="D93" s="2" t="inlineStr">
        <is>
          <t>유기동물보호소</t>
        </is>
      </c>
      <c r="E93" s="2" t="inlineStr">
        <is>
          <t>346495201800001</t>
        </is>
      </c>
      <c r="F93" s="3">
        <f>SUM(G93:J93)</f>
        <v/>
      </c>
      <c r="G93" s="3" t="n">
        <v>3</v>
      </c>
      <c r="H93" s="3" t="n">
        <v>0</v>
      </c>
      <c r="I93" s="3" t="n">
        <v>1</v>
      </c>
      <c r="J93" s="3" t="n">
        <v>0</v>
      </c>
      <c r="K93" s="4">
        <f>G93/F93</f>
        <v/>
      </c>
      <c r="L93" s="4">
        <f>H93/F93</f>
        <v/>
      </c>
      <c r="M93" s="4">
        <f>I93/F93</f>
        <v/>
      </c>
      <c r="N93" s="3" t="n">
        <v>0</v>
      </c>
      <c r="O93" s="3" t="n">
        <v>0</v>
      </c>
      <c r="P93" s="2">
        <f>IF(F93&lt;100,"종료 100마리 미만","")</f>
        <v/>
      </c>
    </row>
    <row r="94">
      <c r="A94" s="2">
        <f>RANK(K94,$K$2:$K$454)</f>
        <v/>
      </c>
      <c r="B94" s="2" t="inlineStr">
        <is>
          <t>경기도</t>
        </is>
      </c>
      <c r="C94" s="2" t="inlineStr">
        <is>
          <t>경기도 부천시</t>
        </is>
      </c>
      <c r="D94" s="2" t="inlineStr">
        <is>
          <t>24시아이동물메디컬</t>
        </is>
      </c>
      <c r="E94" s="2" t="inlineStr">
        <is>
          <t>341386200900001</t>
        </is>
      </c>
      <c r="F94" s="3">
        <f>SUM(G94:J94)</f>
        <v/>
      </c>
      <c r="G94" s="3" t="n">
        <v>258</v>
      </c>
      <c r="H94" s="3" t="n">
        <v>7</v>
      </c>
      <c r="I94" s="3" t="n">
        <v>19</v>
      </c>
      <c r="J94" s="3" t="n">
        <v>61</v>
      </c>
      <c r="K94" s="4">
        <f>G94/F94</f>
        <v/>
      </c>
      <c r="L94" s="4">
        <f>H94/F94</f>
        <v/>
      </c>
      <c r="M94" s="4">
        <f>I94/F94</f>
        <v/>
      </c>
      <c r="N94" s="3" t="n">
        <v>473</v>
      </c>
      <c r="O94" s="3" t="n">
        <v>3</v>
      </c>
      <c r="P94" s="2">
        <f>IF(F94&lt;100,"종료 100마리 미만","")</f>
        <v/>
      </c>
    </row>
    <row r="95">
      <c r="A95" s="2">
        <f>RANK(K95,$K$2:$K$454)</f>
        <v/>
      </c>
      <c r="B95" s="2" t="inlineStr">
        <is>
          <t>경상남도</t>
        </is>
      </c>
      <c r="C95" s="2" t="inlineStr">
        <is>
          <t>경상남도 고성군</t>
        </is>
      </c>
      <c r="D95" s="2" t="inlineStr">
        <is>
          <t>고성군 동물가족센터</t>
        </is>
      </c>
      <c r="E95" s="2" t="inlineStr">
        <is>
          <t>348542202000002</t>
        </is>
      </c>
      <c r="F95" s="3">
        <f>SUM(G95:J95)</f>
        <v/>
      </c>
      <c r="G95" s="3" t="n">
        <v>998</v>
      </c>
      <c r="H95" s="3" t="n">
        <v>91</v>
      </c>
      <c r="I95" s="3" t="n">
        <v>250</v>
      </c>
      <c r="J95" s="3" t="n">
        <v>2</v>
      </c>
      <c r="K95" s="4">
        <f>G95/F95</f>
        <v/>
      </c>
      <c r="L95" s="4">
        <f>H95/F95</f>
        <v/>
      </c>
      <c r="M95" s="4">
        <f>I95/F95</f>
        <v/>
      </c>
      <c r="N95" s="3" t="n">
        <v>61</v>
      </c>
      <c r="O95" s="3" t="n">
        <v>65</v>
      </c>
      <c r="P95" s="2">
        <f>IF(F95&lt;100,"종료 100마리 미만","")</f>
        <v/>
      </c>
    </row>
    <row r="96">
      <c r="A96" s="2">
        <f>RANK(K96,$K$2:$K$454)</f>
        <v/>
      </c>
      <c r="B96" s="2" t="inlineStr">
        <is>
          <t>울산광역시</t>
        </is>
      </c>
      <c r="C96" s="2" t="inlineStr">
        <is>
          <t>울산광역시 남구</t>
        </is>
      </c>
      <c r="D96" s="2" t="inlineStr">
        <is>
          <t>미래펫동물병원</t>
        </is>
      </c>
      <c r="E96" s="2" t="inlineStr">
        <is>
          <t>331370200900003</t>
        </is>
      </c>
      <c r="F96" s="3">
        <f>SUM(G96:J96)</f>
        <v/>
      </c>
      <c r="G96" s="3" t="n">
        <v>14</v>
      </c>
      <c r="H96" s="3" t="n">
        <v>4</v>
      </c>
      <c r="I96" s="3" t="n">
        <v>1</v>
      </c>
      <c r="J96" s="3" t="n">
        <v>0</v>
      </c>
      <c r="K96" s="4">
        <f>G96/F96</f>
        <v/>
      </c>
      <c r="L96" s="4">
        <f>H96/F96</f>
        <v/>
      </c>
      <c r="M96" s="4">
        <f>I96/F96</f>
        <v/>
      </c>
      <c r="N96" s="3" t="n">
        <v>25</v>
      </c>
      <c r="O96" s="3" t="n">
        <v>0</v>
      </c>
      <c r="P96" s="2">
        <f>IF(F96&lt;100,"종료 100마리 미만","")</f>
        <v/>
      </c>
    </row>
    <row r="97">
      <c r="A97" s="2">
        <f>RANK(K97,$K$2:$K$454)</f>
        <v/>
      </c>
      <c r="B97" s="2" t="inlineStr">
        <is>
          <t>서울특별시</t>
        </is>
      </c>
      <c r="C97" s="2" t="inlineStr">
        <is>
          <t>서울특별시 용산구</t>
        </is>
      </c>
      <c r="D97" s="2" t="inlineStr">
        <is>
          <t>남산동물병원</t>
        </is>
      </c>
      <c r="E97" s="2" t="inlineStr">
        <is>
          <t>311302201000020</t>
        </is>
      </c>
      <c r="F97" s="3">
        <f>SUM(G97:J97)</f>
        <v/>
      </c>
      <c r="G97" s="3" t="n">
        <v>75</v>
      </c>
      <c r="H97" s="3" t="n">
        <v>1</v>
      </c>
      <c r="I97" s="3" t="n">
        <v>23</v>
      </c>
      <c r="J97" s="3" t="n">
        <v>3</v>
      </c>
      <c r="K97" s="4">
        <f>G97/F97</f>
        <v/>
      </c>
      <c r="L97" s="4">
        <f>H97/F97</f>
        <v/>
      </c>
      <c r="M97" s="4">
        <f>I97/F97</f>
        <v/>
      </c>
      <c r="N97" s="3" t="n">
        <v>214</v>
      </c>
      <c r="O97" s="3" t="n">
        <v>0</v>
      </c>
      <c r="P97" s="2">
        <f>IF(F97&lt;100,"종료 100마리 미만","")</f>
        <v/>
      </c>
    </row>
    <row r="98">
      <c r="A98" s="2">
        <f>RANK(K98,$K$2:$K$454)</f>
        <v/>
      </c>
      <c r="B98" s="2" t="inlineStr">
        <is>
          <t>대구광역시</t>
        </is>
      </c>
      <c r="C98" s="2" t="inlineStr">
        <is>
          <t>대구광역시 서구</t>
        </is>
      </c>
      <c r="D98" s="2" t="inlineStr">
        <is>
          <t>대구시수의사회(평리)</t>
        </is>
      </c>
      <c r="E98" s="2" t="inlineStr">
        <is>
          <t>327343201500005</t>
        </is>
      </c>
      <c r="F98" s="3">
        <f>SUM(G98:J98)</f>
        <v/>
      </c>
      <c r="G98" s="3" t="n">
        <v>47</v>
      </c>
      <c r="H98" s="3" t="n">
        <v>10</v>
      </c>
      <c r="I98" s="3" t="n">
        <v>7</v>
      </c>
      <c r="J98" s="3" t="n">
        <v>0</v>
      </c>
      <c r="K98" s="4">
        <f>G98/F98</f>
        <v/>
      </c>
      <c r="L98" s="4">
        <f>H98/F98</f>
        <v/>
      </c>
      <c r="M98" s="4">
        <f>I98/F98</f>
        <v/>
      </c>
      <c r="N98" s="3" t="n">
        <v>31</v>
      </c>
      <c r="O98" s="3" t="n">
        <v>0</v>
      </c>
      <c r="P98" s="2">
        <f>IF(F98&lt;100,"종료 100마리 미만","")</f>
        <v/>
      </c>
    </row>
    <row r="99">
      <c r="A99" s="2">
        <f>RANK(K99,$K$2:$K$454)</f>
        <v/>
      </c>
      <c r="B99" s="2" t="inlineStr">
        <is>
          <t>전남광주통합특별시</t>
        </is>
      </c>
      <c r="C99" s="2" t="inlineStr">
        <is>
          <t>전남광주통합특별시 순천시</t>
        </is>
      </c>
      <c r="D99" s="2" t="inlineStr">
        <is>
          <t>대한동물사랑협회</t>
        </is>
      </c>
      <c r="E99" s="2" t="inlineStr">
        <is>
          <t>346482201400002</t>
        </is>
      </c>
      <c r="F99" s="3">
        <f>SUM(G99:J99)</f>
        <v/>
      </c>
      <c r="G99" s="3" t="n">
        <v>11</v>
      </c>
      <c r="H99" s="3" t="n">
        <v>0</v>
      </c>
      <c r="I99" s="3" t="n">
        <v>4</v>
      </c>
      <c r="J99" s="3" t="n">
        <v>0</v>
      </c>
      <c r="K99" s="4">
        <f>G99/F99</f>
        <v/>
      </c>
      <c r="L99" s="4">
        <f>H99/F99</f>
        <v/>
      </c>
      <c r="M99" s="4">
        <f>I99/F99</f>
        <v/>
      </c>
      <c r="N99" s="3" t="n">
        <v>5</v>
      </c>
      <c r="O99" s="3" t="n">
        <v>5</v>
      </c>
      <c r="P99" s="2">
        <f>IF(F99&lt;100,"종료 100마리 미만","")</f>
        <v/>
      </c>
    </row>
    <row r="100">
      <c r="A100" s="2">
        <f>RANK(K100,$K$2:$K$454)</f>
        <v/>
      </c>
      <c r="B100" s="2" t="inlineStr">
        <is>
          <t>서울특별시</t>
        </is>
      </c>
      <c r="C100" s="2" t="inlineStr">
        <is>
          <t>서울특별시 마포구</t>
        </is>
      </c>
      <c r="D100" s="2" t="inlineStr">
        <is>
          <t>홍익동물병원</t>
        </is>
      </c>
      <c r="E100" s="2" t="inlineStr">
        <is>
          <t>311313201000017</t>
        </is>
      </c>
      <c r="F100" s="3">
        <f>SUM(G100:J100)</f>
        <v/>
      </c>
      <c r="G100" s="3" t="n">
        <v>126</v>
      </c>
      <c r="H100" s="3" t="n">
        <v>9</v>
      </c>
      <c r="I100" s="3" t="n">
        <v>31</v>
      </c>
      <c r="J100" s="3" t="n">
        <v>6</v>
      </c>
      <c r="K100" s="4">
        <f>G100/F100</f>
        <v/>
      </c>
      <c r="L100" s="4">
        <f>H100/F100</f>
        <v/>
      </c>
      <c r="M100" s="4">
        <f>I100/F100</f>
        <v/>
      </c>
      <c r="N100" s="3" t="n">
        <v>168</v>
      </c>
      <c r="O100" s="3" t="n">
        <v>5</v>
      </c>
      <c r="P100" s="2">
        <f>IF(F100&lt;100,"종료 100마리 미만","")</f>
        <v/>
      </c>
    </row>
    <row r="101">
      <c r="A101" s="2">
        <f>RANK(K101,$K$2:$K$454)</f>
        <v/>
      </c>
      <c r="B101" s="2" t="inlineStr">
        <is>
          <t>경기도</t>
        </is>
      </c>
      <c r="C101" s="2" t="inlineStr">
        <is>
          <t>경기도 부천시</t>
        </is>
      </c>
      <c r="D101" s="2" t="inlineStr">
        <is>
          <t>정샘동물병원</t>
        </is>
      </c>
      <c r="E101" s="2" t="inlineStr">
        <is>
          <t>341386201800004</t>
        </is>
      </c>
      <c r="F101" s="3">
        <f>SUM(G101:J101)</f>
        <v/>
      </c>
      <c r="G101" s="3" t="n">
        <v>97</v>
      </c>
      <c r="H101" s="3" t="n">
        <v>3</v>
      </c>
      <c r="I101" s="3" t="n">
        <v>13</v>
      </c>
      <c r="J101" s="3" t="n">
        <v>20</v>
      </c>
      <c r="K101" s="4">
        <f>G101/F101</f>
        <v/>
      </c>
      <c r="L101" s="4">
        <f>H101/F101</f>
        <v/>
      </c>
      <c r="M101" s="4">
        <f>I101/F101</f>
        <v/>
      </c>
      <c r="N101" s="3" t="n">
        <v>97</v>
      </c>
      <c r="O101" s="3" t="n">
        <v>1</v>
      </c>
      <c r="P101" s="2">
        <f>IF(F101&lt;100,"종료 100마리 미만","")</f>
        <v/>
      </c>
    </row>
    <row r="102">
      <c r="A102" s="2">
        <f>RANK(K102,$K$2:$K$454)</f>
        <v/>
      </c>
      <c r="B102" s="2" t="inlineStr">
        <is>
          <t>울산광역시</t>
        </is>
      </c>
      <c r="C102" s="2" t="inlineStr">
        <is>
          <t>울산광역시 남구</t>
        </is>
      </c>
      <c r="D102" s="2" t="inlineStr">
        <is>
          <t>스마일동물병원</t>
        </is>
      </c>
      <c r="E102" s="2" t="inlineStr">
        <is>
          <t>331370201200001</t>
        </is>
      </c>
      <c r="F102" s="3">
        <f>SUM(G102:J102)</f>
        <v/>
      </c>
      <c r="G102" s="3" t="n">
        <v>8</v>
      </c>
      <c r="H102" s="3" t="n">
        <v>2</v>
      </c>
      <c r="I102" s="3" t="n">
        <v>1</v>
      </c>
      <c r="J102" s="3" t="n">
        <v>0</v>
      </c>
      <c r="K102" s="4">
        <f>G102/F102</f>
        <v/>
      </c>
      <c r="L102" s="4">
        <f>H102/F102</f>
        <v/>
      </c>
      <c r="M102" s="4">
        <f>I102/F102</f>
        <v/>
      </c>
      <c r="N102" s="3" t="n">
        <v>3</v>
      </c>
      <c r="O102" s="3" t="n">
        <v>0</v>
      </c>
      <c r="P102" s="2">
        <f>IF(F102&lt;100,"종료 100마리 미만","")</f>
        <v/>
      </c>
    </row>
    <row r="103">
      <c r="A103" s="2">
        <f>RANK(K103,$K$2:$K$454)</f>
        <v/>
      </c>
      <c r="B103" s="2" t="inlineStr">
        <is>
          <t>인천광역시</t>
        </is>
      </c>
      <c r="C103" s="2" t="inlineStr">
        <is>
          <t>인천광역시 제물포구</t>
        </is>
      </c>
      <c r="D103" s="2" t="inlineStr">
        <is>
          <t>경동동물병원</t>
        </is>
      </c>
      <c r="E103" s="2" t="inlineStr">
        <is>
          <t>328349201000001</t>
        </is>
      </c>
      <c r="F103" s="3">
        <f>SUM(G103:J103)</f>
        <v/>
      </c>
      <c r="G103" s="3" t="n">
        <v>218</v>
      </c>
      <c r="H103" s="3" t="n">
        <v>53</v>
      </c>
      <c r="I103" s="3" t="n">
        <v>33</v>
      </c>
      <c r="J103" s="3" t="n">
        <v>0</v>
      </c>
      <c r="K103" s="4">
        <f>G103/F103</f>
        <v/>
      </c>
      <c r="L103" s="4">
        <f>H103/F103</f>
        <v/>
      </c>
      <c r="M103" s="4">
        <f>I103/F103</f>
        <v/>
      </c>
      <c r="N103" s="3" t="n">
        <v>144</v>
      </c>
      <c r="O103" s="3" t="n">
        <v>0</v>
      </c>
      <c r="P103" s="2">
        <f>IF(F103&lt;100,"종료 100마리 미만","")</f>
        <v/>
      </c>
    </row>
    <row r="104">
      <c r="A104" s="2">
        <f>RANK(K104,$K$2:$K$454)</f>
        <v/>
      </c>
      <c r="B104" s="2" t="inlineStr">
        <is>
          <t>대구광역시</t>
        </is>
      </c>
      <c r="C104" s="2" t="inlineStr">
        <is>
          <t>대구광역시 수성구</t>
        </is>
      </c>
      <c r="D104" s="2" t="inlineStr">
        <is>
          <t>예스동물병원</t>
        </is>
      </c>
      <c r="E104" s="2" t="inlineStr">
        <is>
          <t>327346201500015</t>
        </is>
      </c>
      <c r="F104" s="3">
        <f>SUM(G104:J104)</f>
        <v/>
      </c>
      <c r="G104" s="3" t="n">
        <v>15</v>
      </c>
      <c r="H104" s="3" t="n">
        <v>0</v>
      </c>
      <c r="I104" s="3" t="n">
        <v>6</v>
      </c>
      <c r="J104" s="3" t="n">
        <v>0</v>
      </c>
      <c r="K104" s="4">
        <f>G104/F104</f>
        <v/>
      </c>
      <c r="L104" s="4">
        <f>H104/F104</f>
        <v/>
      </c>
      <c r="M104" s="4">
        <f>I104/F104</f>
        <v/>
      </c>
      <c r="N104" s="3" t="n">
        <v>29</v>
      </c>
      <c r="O104" s="3" t="n">
        <v>0</v>
      </c>
      <c r="P104" s="2">
        <f>IF(F104&lt;100,"종료 100마리 미만","")</f>
        <v/>
      </c>
    </row>
    <row r="105">
      <c r="A105" s="2">
        <f>RANK(K105,$K$2:$K$454)</f>
        <v/>
      </c>
      <c r="B105" s="2" t="inlineStr">
        <is>
          <t>대구광역시</t>
        </is>
      </c>
      <c r="C105" s="2" t="inlineStr">
        <is>
          <t>대구광역시 수성구</t>
        </is>
      </c>
      <c r="D105" s="2" t="inlineStr">
        <is>
          <t>허동물병원</t>
        </is>
      </c>
      <c r="E105" s="2" t="inlineStr">
        <is>
          <t>327346201800001</t>
        </is>
      </c>
      <c r="F105" s="3">
        <f>SUM(G105:J105)</f>
        <v/>
      </c>
      <c r="G105" s="3" t="n">
        <v>33</v>
      </c>
      <c r="H105" s="3" t="n">
        <v>13</v>
      </c>
      <c r="I105" s="3" t="n">
        <v>1</v>
      </c>
      <c r="J105" s="3" t="n">
        <v>0</v>
      </c>
      <c r="K105" s="4">
        <f>G105/F105</f>
        <v/>
      </c>
      <c r="L105" s="4">
        <f>H105/F105</f>
        <v/>
      </c>
      <c r="M105" s="4">
        <f>I105/F105</f>
        <v/>
      </c>
      <c r="N105" s="3" t="n">
        <v>55</v>
      </c>
      <c r="O105" s="3" t="n">
        <v>0</v>
      </c>
      <c r="P105" s="2">
        <f>IF(F105&lt;100,"종료 100마리 미만","")</f>
        <v/>
      </c>
    </row>
    <row r="106">
      <c r="A106" s="2">
        <f>RANK(K106,$K$2:$K$454)</f>
        <v/>
      </c>
      <c r="B106" s="2" t="inlineStr">
        <is>
          <t>전북특별자치도</t>
        </is>
      </c>
      <c r="C106" s="2" t="inlineStr">
        <is>
          <t>전북특별자치도 완주군</t>
        </is>
      </c>
      <c r="D106" s="2" t="inlineStr">
        <is>
          <t>연합동물병원</t>
        </is>
      </c>
      <c r="E106" s="2" t="inlineStr">
        <is>
          <t>345472201400001</t>
        </is>
      </c>
      <c r="F106" s="3">
        <f>SUM(G106:J106)</f>
        <v/>
      </c>
      <c r="G106" s="3" t="n">
        <v>7</v>
      </c>
      <c r="H106" s="3" t="n">
        <v>0</v>
      </c>
      <c r="I106" s="3" t="n">
        <v>0</v>
      </c>
      <c r="J106" s="3" t="n">
        <v>3</v>
      </c>
      <c r="K106" s="4">
        <f>G106/F106</f>
        <v/>
      </c>
      <c r="L106" s="4">
        <f>H106/F106</f>
        <v/>
      </c>
      <c r="M106" s="4">
        <f>I106/F106</f>
        <v/>
      </c>
      <c r="N106" s="3" t="n">
        <v>3</v>
      </c>
      <c r="O106" s="3" t="n">
        <v>0</v>
      </c>
      <c r="P106" s="2">
        <f>IF(F106&lt;100,"종료 100마리 미만","")</f>
        <v/>
      </c>
    </row>
    <row r="107">
      <c r="A107" s="2">
        <f>RANK(K107,$K$2:$K$454)</f>
        <v/>
      </c>
      <c r="B107" s="2" t="inlineStr">
        <is>
          <t>울산광역시</t>
        </is>
      </c>
      <c r="C107" s="2" t="inlineStr">
        <is>
          <t>울산광역시 북구</t>
        </is>
      </c>
      <c r="D107" s="2" t="inlineStr">
        <is>
          <t>쿨펫동물병원</t>
        </is>
      </c>
      <c r="E107" s="2" t="inlineStr">
        <is>
          <t>331372200900003</t>
        </is>
      </c>
      <c r="F107" s="3">
        <f>SUM(G107:J107)</f>
        <v/>
      </c>
      <c r="G107" s="3" t="n">
        <v>16</v>
      </c>
      <c r="H107" s="3" t="n">
        <v>6</v>
      </c>
      <c r="I107" s="3" t="n">
        <v>1</v>
      </c>
      <c r="J107" s="3" t="n">
        <v>0</v>
      </c>
      <c r="K107" s="4">
        <f>G107/F107</f>
        <v/>
      </c>
      <c r="L107" s="4">
        <f>H107/F107</f>
        <v/>
      </c>
      <c r="M107" s="4">
        <f>I107/F107</f>
        <v/>
      </c>
      <c r="N107" s="3" t="n">
        <v>2</v>
      </c>
      <c r="O107" s="3" t="n">
        <v>0</v>
      </c>
      <c r="P107" s="2">
        <f>IF(F107&lt;100,"종료 100마리 미만","")</f>
        <v/>
      </c>
    </row>
    <row r="108">
      <c r="A108" s="2">
        <f>RANK(K108,$K$2:$K$454)</f>
        <v/>
      </c>
      <c r="B108" s="2" t="inlineStr">
        <is>
          <t>대구광역시</t>
        </is>
      </c>
      <c r="C108" s="2" t="inlineStr">
        <is>
          <t>대구광역시 달성군</t>
        </is>
      </c>
      <c r="D108" s="2" t="inlineStr">
        <is>
          <t>현풍동물병원</t>
        </is>
      </c>
      <c r="E108" s="2" t="inlineStr">
        <is>
          <t>327348201500002</t>
        </is>
      </c>
      <c r="F108" s="3">
        <f>SUM(G108:J108)</f>
        <v/>
      </c>
      <c r="G108" s="3" t="n">
        <v>91</v>
      </c>
      <c r="H108" s="3" t="n">
        <v>29</v>
      </c>
      <c r="I108" s="3" t="n">
        <v>11</v>
      </c>
      <c r="J108" s="3" t="n">
        <v>0</v>
      </c>
      <c r="K108" s="4">
        <f>G108/F108</f>
        <v/>
      </c>
      <c r="L108" s="4">
        <f>H108/F108</f>
        <v/>
      </c>
      <c r="M108" s="4">
        <f>I108/F108</f>
        <v/>
      </c>
      <c r="N108" s="3" t="n">
        <v>18</v>
      </c>
      <c r="O108" s="3" t="n">
        <v>1</v>
      </c>
      <c r="P108" s="2">
        <f>IF(F108&lt;100,"종료 100마리 미만","")</f>
        <v/>
      </c>
    </row>
    <row r="109">
      <c r="A109" s="2">
        <f>RANK(K109,$K$2:$K$454)</f>
        <v/>
      </c>
      <c r="B109" s="2" t="inlineStr">
        <is>
          <t>전남광주통합특별시</t>
        </is>
      </c>
      <c r="C109" s="2" t="inlineStr">
        <is>
          <t>전남광주통합특별시 여수시</t>
        </is>
      </c>
      <c r="D109" s="2" t="inlineStr">
        <is>
          <t>반려동물보호센터</t>
        </is>
      </c>
      <c r="E109" s="2" t="inlineStr">
        <is>
          <t>346481200900001</t>
        </is>
      </c>
      <c r="F109" s="3">
        <f>SUM(G109:J109)</f>
        <v/>
      </c>
      <c r="G109" s="3" t="n">
        <v>1497</v>
      </c>
      <c r="H109" s="3" t="n">
        <v>15</v>
      </c>
      <c r="I109" s="3" t="n">
        <v>636</v>
      </c>
      <c r="J109" s="3" t="n">
        <v>12</v>
      </c>
      <c r="K109" s="4">
        <f>G109/F109</f>
        <v/>
      </c>
      <c r="L109" s="4">
        <f>H109/F109</f>
        <v/>
      </c>
      <c r="M109" s="4">
        <f>I109/F109</f>
        <v/>
      </c>
      <c r="N109" s="3" t="n">
        <v>766</v>
      </c>
      <c r="O109" s="3" t="n">
        <v>127</v>
      </c>
      <c r="P109" s="2">
        <f>IF(F109&lt;100,"종료 100마리 미만","")</f>
        <v/>
      </c>
    </row>
    <row r="110">
      <c r="A110" s="2">
        <f>RANK(K110,$K$2:$K$454)</f>
        <v/>
      </c>
      <c r="B110" s="2" t="inlineStr">
        <is>
          <t>울산광역시</t>
        </is>
      </c>
      <c r="C110" s="2" t="inlineStr">
        <is>
          <t>울산광역시 울주군</t>
        </is>
      </c>
      <c r="D110" s="2" t="inlineStr">
        <is>
          <t>초록동물병원</t>
        </is>
      </c>
      <c r="E110" s="2" t="inlineStr">
        <is>
          <t>331373201600002</t>
        </is>
      </c>
      <c r="F110" s="3">
        <f>SUM(G110:J110)</f>
        <v/>
      </c>
      <c r="G110" s="3" t="n">
        <v>11</v>
      </c>
      <c r="H110" s="3" t="n">
        <v>4</v>
      </c>
      <c r="I110" s="3" t="n">
        <v>1</v>
      </c>
      <c r="J110" s="3" t="n">
        <v>0</v>
      </c>
      <c r="K110" s="4">
        <f>G110/F110</f>
        <v/>
      </c>
      <c r="L110" s="4">
        <f>H110/F110</f>
        <v/>
      </c>
      <c r="M110" s="4">
        <f>I110/F110</f>
        <v/>
      </c>
      <c r="N110" s="3" t="n">
        <v>1</v>
      </c>
      <c r="O110" s="3" t="n">
        <v>1</v>
      </c>
      <c r="P110" s="2">
        <f>IF(F110&lt;100,"종료 100마리 미만","")</f>
        <v/>
      </c>
    </row>
    <row r="111">
      <c r="A111" s="2">
        <f>RANK(K111,$K$2:$K$454)</f>
        <v/>
      </c>
      <c r="B111" s="2" t="inlineStr">
        <is>
          <t>대전광역시</t>
        </is>
      </c>
      <c r="C111" s="2" t="inlineStr">
        <is>
          <t>대전광역시 서구</t>
        </is>
      </c>
      <c r="D111" s="2" t="inlineStr">
        <is>
          <t>대전동물보호센터</t>
        </is>
      </c>
      <c r="E111" s="2" t="inlineStr">
        <is>
          <t>330366202000001</t>
        </is>
      </c>
      <c r="F111" s="3">
        <f>SUM(G111:J111)</f>
        <v/>
      </c>
      <c r="G111" s="3" t="n">
        <v>449</v>
      </c>
      <c r="H111" s="3" t="n">
        <v>163</v>
      </c>
      <c r="I111" s="3" t="n">
        <v>36</v>
      </c>
      <c r="J111" s="3" t="n">
        <v>9</v>
      </c>
      <c r="K111" s="4">
        <f>G111/F111</f>
        <v/>
      </c>
      <c r="L111" s="4">
        <f>H111/F111</f>
        <v/>
      </c>
      <c r="M111" s="4">
        <f>I111/F111</f>
        <v/>
      </c>
      <c r="N111" s="3" t="n">
        <v>798</v>
      </c>
      <c r="O111" s="3" t="n">
        <v>14</v>
      </c>
      <c r="P111" s="2">
        <f>IF(F111&lt;100,"종료 100마리 미만","")</f>
        <v/>
      </c>
    </row>
    <row r="112">
      <c r="A112" s="2">
        <f>RANK(K112,$K$2:$K$454)</f>
        <v/>
      </c>
      <c r="B112" s="2" t="inlineStr">
        <is>
          <t>전북특별자치도</t>
        </is>
      </c>
      <c r="C112" s="2" t="inlineStr">
        <is>
          <t>전북특별자치도 전주시</t>
        </is>
      </c>
      <c r="D112" s="2" t="inlineStr">
        <is>
          <t>링크늘푸른동물병원</t>
        </is>
      </c>
      <c r="E112" s="2" t="inlineStr">
        <is>
          <t>345464201700001</t>
        </is>
      </c>
      <c r="F112" s="3">
        <f>SUM(G112:J112)</f>
        <v/>
      </c>
      <c r="G112" s="3" t="n">
        <v>197</v>
      </c>
      <c r="H112" s="3" t="n">
        <v>54</v>
      </c>
      <c r="I112" s="3" t="n">
        <v>36</v>
      </c>
      <c r="J112" s="3" t="n">
        <v>2</v>
      </c>
      <c r="K112" s="4">
        <f>G112/F112</f>
        <v/>
      </c>
      <c r="L112" s="4">
        <f>H112/F112</f>
        <v/>
      </c>
      <c r="M112" s="4">
        <f>I112/F112</f>
        <v/>
      </c>
      <c r="N112" s="3" t="n">
        <v>136</v>
      </c>
      <c r="O112" s="3" t="n">
        <v>0</v>
      </c>
      <c r="P112" s="2">
        <f>IF(F112&lt;100,"종료 100마리 미만","")</f>
        <v/>
      </c>
    </row>
    <row r="113">
      <c r="A113" s="2">
        <f>RANK(K113,$K$2:$K$454)</f>
        <v/>
      </c>
      <c r="B113" s="2" t="inlineStr">
        <is>
          <t>대구광역시</t>
        </is>
      </c>
      <c r="C113" s="2" t="inlineStr">
        <is>
          <t>대구광역시 서구</t>
        </is>
      </c>
      <c r="D113" s="2" t="inlineStr">
        <is>
          <t>대구수의사회(아이펫)</t>
        </is>
      </c>
      <c r="E113" s="2" t="inlineStr">
        <is>
          <t>327343201500004</t>
        </is>
      </c>
      <c r="F113" s="3">
        <f>SUM(G113:J113)</f>
        <v/>
      </c>
      <c r="G113" s="3" t="n">
        <v>55</v>
      </c>
      <c r="H113" s="3" t="n">
        <v>22</v>
      </c>
      <c r="I113" s="3" t="n">
        <v>4</v>
      </c>
      <c r="J113" s="3" t="n">
        <v>0</v>
      </c>
      <c r="K113" s="4">
        <f>G113/F113</f>
        <v/>
      </c>
      <c r="L113" s="4">
        <f>H113/F113</f>
        <v/>
      </c>
      <c r="M113" s="4">
        <f>I113/F113</f>
        <v/>
      </c>
      <c r="N113" s="3" t="n">
        <v>52</v>
      </c>
      <c r="O113" s="3" t="n">
        <v>0</v>
      </c>
      <c r="P113" s="2">
        <f>IF(F113&lt;100,"종료 100마리 미만","")</f>
        <v/>
      </c>
    </row>
    <row r="114">
      <c r="A114" s="2">
        <f>RANK(K114,$K$2:$K$454)</f>
        <v/>
      </c>
      <c r="B114" s="2" t="inlineStr">
        <is>
          <t>대전광역시</t>
        </is>
      </c>
      <c r="C114" s="2" t="inlineStr">
        <is>
          <t>대전광역시 유성구</t>
        </is>
      </c>
      <c r="D114" s="2" t="inlineStr">
        <is>
          <t>대전동물보호센터</t>
        </is>
      </c>
      <c r="E114" s="2" t="inlineStr">
        <is>
          <t>330367200900001</t>
        </is>
      </c>
      <c r="F114" s="3">
        <f>SUM(G114:J114)</f>
        <v/>
      </c>
      <c r="G114" s="3" t="n">
        <v>548</v>
      </c>
      <c r="H114" s="3" t="n">
        <v>206</v>
      </c>
      <c r="I114" s="3" t="n">
        <v>52</v>
      </c>
      <c r="J114" s="3" t="n">
        <v>3</v>
      </c>
      <c r="K114" s="4">
        <f>G114/F114</f>
        <v/>
      </c>
      <c r="L114" s="4">
        <f>H114/F114</f>
        <v/>
      </c>
      <c r="M114" s="4">
        <f>I114/F114</f>
        <v/>
      </c>
      <c r="N114" s="3" t="n">
        <v>518</v>
      </c>
      <c r="O114" s="3" t="n">
        <v>31</v>
      </c>
      <c r="P114" s="2">
        <f>IF(F114&lt;100,"종료 100마리 미만","")</f>
        <v/>
      </c>
    </row>
    <row r="115">
      <c r="A115" s="2">
        <f>RANK(K115,$K$2:$K$454)</f>
        <v/>
      </c>
      <c r="B115" s="2" t="inlineStr">
        <is>
          <t>인천광역시</t>
        </is>
      </c>
      <c r="C115" s="2" t="inlineStr">
        <is>
          <t>인천광역시 제물포구</t>
        </is>
      </c>
      <c r="D115" s="2" t="inlineStr">
        <is>
          <t>경동동물병원</t>
        </is>
      </c>
      <c r="E115" s="2" t="inlineStr">
        <is>
          <t>328350202100001</t>
        </is>
      </c>
      <c r="F115" s="3">
        <f>SUM(G115:J115)</f>
        <v/>
      </c>
      <c r="G115" s="3" t="n">
        <v>73</v>
      </c>
      <c r="H115" s="3" t="n">
        <v>19</v>
      </c>
      <c r="I115" s="3" t="n">
        <v>16</v>
      </c>
      <c r="J115" s="3" t="n">
        <v>0</v>
      </c>
      <c r="K115" s="4">
        <f>G115/F115</f>
        <v/>
      </c>
      <c r="L115" s="4">
        <f>H115/F115</f>
        <v/>
      </c>
      <c r="M115" s="4">
        <f>I115/F115</f>
        <v/>
      </c>
      <c r="N115" s="3" t="n">
        <v>89</v>
      </c>
      <c r="O115" s="3" t="n">
        <v>0</v>
      </c>
      <c r="P115" s="2">
        <f>IF(F115&lt;100,"종료 100마리 미만","")</f>
        <v/>
      </c>
    </row>
    <row r="116">
      <c r="A116" s="2">
        <f>RANK(K116,$K$2:$K$454)</f>
        <v/>
      </c>
      <c r="B116" s="2" t="inlineStr">
        <is>
          <t>경상남도</t>
        </is>
      </c>
      <c r="C116" s="2" t="inlineStr">
        <is>
          <t>경상남도 창원시 의창성산구</t>
        </is>
      </c>
      <c r="D116" s="2" t="inlineStr">
        <is>
          <t>창원동물보호센터</t>
        </is>
      </c>
      <c r="E116" s="2" t="inlineStr">
        <is>
          <t>348527200900001</t>
        </is>
      </c>
      <c r="F116" s="3">
        <f>SUM(G116:J116)</f>
        <v/>
      </c>
      <c r="G116" s="3" t="n">
        <v>1548</v>
      </c>
      <c r="H116" s="3" t="n">
        <v>519</v>
      </c>
      <c r="I116" s="3" t="n">
        <v>127</v>
      </c>
      <c r="J116" s="3" t="n">
        <v>104</v>
      </c>
      <c r="K116" s="4">
        <f>G116/F116</f>
        <v/>
      </c>
      <c r="L116" s="4">
        <f>H116/F116</f>
        <v/>
      </c>
      <c r="M116" s="4">
        <f>I116/F116</f>
        <v/>
      </c>
      <c r="N116" s="3" t="n">
        <v>1146</v>
      </c>
      <c r="O116" s="3" t="n">
        <v>191</v>
      </c>
      <c r="P116" s="2">
        <f>IF(F116&lt;100,"종료 100마리 미만","")</f>
        <v/>
      </c>
    </row>
    <row r="117">
      <c r="A117" s="2">
        <f>RANK(K117,$K$2:$K$454)</f>
        <v/>
      </c>
      <c r="B117" s="2" t="inlineStr">
        <is>
          <t>경기도</t>
        </is>
      </c>
      <c r="C117" s="2" t="inlineStr">
        <is>
          <t>경기도 파주시</t>
        </is>
      </c>
      <c r="D117" s="2" t="inlineStr">
        <is>
          <t>버디종합동물병원</t>
        </is>
      </c>
      <c r="E117" s="2" t="inlineStr">
        <is>
          <t>341406201300004</t>
        </is>
      </c>
      <c r="F117" s="3">
        <f>SUM(G117:J117)</f>
        <v/>
      </c>
      <c r="G117" s="3" t="n">
        <v>182</v>
      </c>
      <c r="H117" s="3" t="n">
        <v>49</v>
      </c>
      <c r="I117" s="3" t="n">
        <v>18</v>
      </c>
      <c r="J117" s="3" t="n">
        <v>22</v>
      </c>
      <c r="K117" s="4">
        <f>G117/F117</f>
        <v/>
      </c>
      <c r="L117" s="4">
        <f>H117/F117</f>
        <v/>
      </c>
      <c r="M117" s="4">
        <f>I117/F117</f>
        <v/>
      </c>
      <c r="N117" s="3" t="n">
        <v>14</v>
      </c>
      <c r="O117" s="3" t="n">
        <v>0</v>
      </c>
      <c r="P117" s="2">
        <f>IF(F117&lt;100,"종료 100마리 미만","")</f>
        <v/>
      </c>
    </row>
    <row r="118">
      <c r="A118" s="2">
        <f>RANK(K118,$K$2:$K$454)</f>
        <v/>
      </c>
      <c r="B118" s="2" t="inlineStr">
        <is>
          <t>서울특별시</t>
        </is>
      </c>
      <c r="C118" s="2" t="inlineStr">
        <is>
          <t>서울특별시 강동구</t>
        </is>
      </c>
      <c r="D118" s="2" t="inlineStr">
        <is>
          <t>둔촌동물병원</t>
        </is>
      </c>
      <c r="E118" s="2" t="inlineStr">
        <is>
          <t>311324201600002</t>
        </is>
      </c>
      <c r="F118" s="3">
        <f>SUM(G118:J118)</f>
        <v/>
      </c>
      <c r="G118" s="3" t="n">
        <v>63</v>
      </c>
      <c r="H118" s="3" t="n">
        <v>1</v>
      </c>
      <c r="I118" s="3" t="n">
        <v>4</v>
      </c>
      <c r="J118" s="3" t="n">
        <v>26</v>
      </c>
      <c r="K118" s="4">
        <f>G118/F118</f>
        <v/>
      </c>
      <c r="L118" s="4">
        <f>H118/F118</f>
        <v/>
      </c>
      <c r="M118" s="4">
        <f>I118/F118</f>
        <v/>
      </c>
      <c r="N118" s="3" t="n">
        <v>67</v>
      </c>
      <c r="O118" s="3" t="n">
        <v>0</v>
      </c>
      <c r="P118" s="2">
        <f>IF(F118&lt;100,"종료 100마리 미만","")</f>
        <v/>
      </c>
    </row>
    <row r="119">
      <c r="A119" s="2">
        <f>RANK(K119,$K$2:$K$454)</f>
        <v/>
      </c>
      <c r="B119" s="2" t="inlineStr">
        <is>
          <t>전북특별자치도</t>
        </is>
      </c>
      <c r="C119" s="2" t="inlineStr">
        <is>
          <t>전북특별자치도 전주시</t>
        </is>
      </c>
      <c r="D119" s="2" t="inlineStr">
        <is>
          <t>박영재동물병원</t>
        </is>
      </c>
      <c r="E119" s="2" t="inlineStr">
        <is>
          <t>345464201100001</t>
        </is>
      </c>
      <c r="F119" s="3">
        <f>SUM(G119:J119)</f>
        <v/>
      </c>
      <c r="G119" s="3" t="n">
        <v>266</v>
      </c>
      <c r="H119" s="3" t="n">
        <v>65</v>
      </c>
      <c r="I119" s="3" t="n">
        <v>56</v>
      </c>
      <c r="J119" s="3" t="n">
        <v>10</v>
      </c>
      <c r="K119" s="4">
        <f>G119/F119</f>
        <v/>
      </c>
      <c r="L119" s="4">
        <f>H119/F119</f>
        <v/>
      </c>
      <c r="M119" s="4">
        <f>I119/F119</f>
        <v/>
      </c>
      <c r="N119" s="3" t="n">
        <v>180</v>
      </c>
      <c r="O119" s="3" t="n">
        <v>0</v>
      </c>
      <c r="P119" s="2">
        <f>IF(F119&lt;100,"종료 100마리 미만","")</f>
        <v/>
      </c>
    </row>
    <row r="120">
      <c r="A120" s="2">
        <f>RANK(K120,$K$2:$K$454)</f>
        <v/>
      </c>
      <c r="B120" s="2" t="inlineStr">
        <is>
          <t>서울특별시</t>
        </is>
      </c>
      <c r="C120" s="2" t="inlineStr">
        <is>
          <t>서울특별시 강동구</t>
        </is>
      </c>
      <c r="D120" s="2" t="inlineStr">
        <is>
          <t xml:space="preserve">강동구청 반려동물팀 </t>
        </is>
      </c>
      <c r="E120" s="2" t="inlineStr">
        <is>
          <t>311324201600001</t>
        </is>
      </c>
      <c r="F120" s="3">
        <f>SUM(G120:J120)</f>
        <v/>
      </c>
      <c r="G120" s="3" t="n">
        <v>2</v>
      </c>
      <c r="H120" s="3" t="n">
        <v>0</v>
      </c>
      <c r="I120" s="3" t="n">
        <v>1</v>
      </c>
      <c r="J120" s="3" t="n">
        <v>0</v>
      </c>
      <c r="K120" s="4">
        <f>G120/F120</f>
        <v/>
      </c>
      <c r="L120" s="4">
        <f>H120/F120</f>
        <v/>
      </c>
      <c r="M120" s="4">
        <f>I120/F120</f>
        <v/>
      </c>
      <c r="N120" s="3" t="n">
        <v>24</v>
      </c>
      <c r="O120" s="3" t="n">
        <v>0</v>
      </c>
      <c r="P120" s="2">
        <f>IF(F120&lt;100,"종료 100마리 미만","")</f>
        <v/>
      </c>
    </row>
    <row r="121">
      <c r="A121" s="2">
        <f>RANK(K121,$K$2:$K$454)</f>
        <v/>
      </c>
      <c r="B121" s="2" t="inlineStr">
        <is>
          <t>대전광역시</t>
        </is>
      </c>
      <c r="C121" s="2" t="inlineStr">
        <is>
          <t>대전광역시 유성구</t>
        </is>
      </c>
      <c r="D121" s="2" t="inlineStr">
        <is>
          <t>금강유역환경청</t>
        </is>
      </c>
      <c r="E121" s="2" t="inlineStr">
        <is>
          <t>330367202300002</t>
        </is>
      </c>
      <c r="F121" s="3">
        <f>SUM(G121:J121)</f>
        <v/>
      </c>
      <c r="G121" s="3" t="n">
        <v>2</v>
      </c>
      <c r="H121" s="3" t="n">
        <v>1</v>
      </c>
      <c r="I121" s="3" t="n">
        <v>0</v>
      </c>
      <c r="J121" s="3" t="n">
        <v>0</v>
      </c>
      <c r="K121" s="4">
        <f>G121/F121</f>
        <v/>
      </c>
      <c r="L121" s="4">
        <f>H121/F121</f>
        <v/>
      </c>
      <c r="M121" s="4">
        <f>I121/F121</f>
        <v/>
      </c>
      <c r="N121" s="3" t="n">
        <v>0</v>
      </c>
      <c r="O121" s="3" t="n">
        <v>0</v>
      </c>
      <c r="P121" s="2">
        <f>IF(F121&lt;100,"종료 100마리 미만","")</f>
        <v/>
      </c>
    </row>
    <row r="122">
      <c r="A122" s="2">
        <f>RANK(K122,$K$2:$K$454)</f>
        <v/>
      </c>
      <c r="B122" s="2" t="inlineStr">
        <is>
          <t>경기도</t>
        </is>
      </c>
      <c r="C122" s="2" t="inlineStr">
        <is>
          <t>경기도 의왕시</t>
        </is>
      </c>
      <c r="D122" s="2" t="inlineStr">
        <is>
          <t>의왕시청</t>
        </is>
      </c>
      <c r="E122" s="2" t="inlineStr">
        <is>
          <t>341403202000001</t>
        </is>
      </c>
      <c r="F122" s="3">
        <f>SUM(G122:J122)</f>
        <v/>
      </c>
      <c r="G122" s="3" t="n">
        <v>2</v>
      </c>
      <c r="H122" s="3" t="n">
        <v>1</v>
      </c>
      <c r="I122" s="3" t="n">
        <v>0</v>
      </c>
      <c r="J122" s="3" t="n">
        <v>0</v>
      </c>
      <c r="K122" s="4">
        <f>G122/F122</f>
        <v/>
      </c>
      <c r="L122" s="4">
        <f>H122/F122</f>
        <v/>
      </c>
      <c r="M122" s="4">
        <f>I122/F122</f>
        <v/>
      </c>
      <c r="N122" s="3" t="n">
        <v>0</v>
      </c>
      <c r="O122" s="3" t="n">
        <v>0</v>
      </c>
      <c r="P122" s="2">
        <f>IF(F122&lt;100,"종료 100마리 미만","")</f>
        <v/>
      </c>
    </row>
    <row r="123">
      <c r="A123" s="2">
        <f>RANK(K123,$K$2:$K$454)</f>
        <v/>
      </c>
      <c r="B123" s="2" t="inlineStr">
        <is>
          <t>경기도</t>
        </is>
      </c>
      <c r="C123" s="2" t="inlineStr">
        <is>
          <t>경기도 파주시</t>
        </is>
      </c>
      <c r="D123" s="2" t="inlineStr">
        <is>
          <t>나은동물병원</t>
        </is>
      </c>
      <c r="E123" s="2" t="inlineStr">
        <is>
          <t>341406201300009</t>
        </is>
      </c>
      <c r="F123" s="3">
        <f>SUM(G123:J123)</f>
        <v/>
      </c>
      <c r="G123" s="3" t="n">
        <v>107</v>
      </c>
      <c r="H123" s="3" t="n">
        <v>0</v>
      </c>
      <c r="I123" s="3" t="n">
        <v>3</v>
      </c>
      <c r="J123" s="3" t="n">
        <v>51</v>
      </c>
      <c r="K123" s="4">
        <f>G123/F123</f>
        <v/>
      </c>
      <c r="L123" s="4">
        <f>H123/F123</f>
        <v/>
      </c>
      <c r="M123" s="4">
        <f>I123/F123</f>
        <v/>
      </c>
      <c r="N123" s="3" t="n">
        <v>14</v>
      </c>
      <c r="O123" s="3" t="n">
        <v>0</v>
      </c>
      <c r="P123" s="2">
        <f>IF(F123&lt;100,"종료 100마리 미만","")</f>
        <v/>
      </c>
    </row>
    <row r="124">
      <c r="A124" s="2">
        <f>RANK(K124,$K$2:$K$454)</f>
        <v/>
      </c>
      <c r="B124" s="2" t="inlineStr">
        <is>
          <t>전북특별자치도</t>
        </is>
      </c>
      <c r="C124" s="2" t="inlineStr">
        <is>
          <t>전북특별자치도 남원시</t>
        </is>
      </c>
      <c r="D124" s="2" t="inlineStr">
        <is>
          <t>하나동물병원</t>
        </is>
      </c>
      <c r="E124" s="2" t="inlineStr">
        <is>
          <t>345470201300002</t>
        </is>
      </c>
      <c r="F124" s="3">
        <f>SUM(G124:J124)</f>
        <v/>
      </c>
      <c r="G124" s="3" t="n">
        <v>739</v>
      </c>
      <c r="H124" s="3" t="n">
        <v>229</v>
      </c>
      <c r="I124" s="3" t="n">
        <v>146</v>
      </c>
      <c r="J124" s="3" t="n">
        <v>0</v>
      </c>
      <c r="K124" s="4">
        <f>G124/F124</f>
        <v/>
      </c>
      <c r="L124" s="4">
        <f>H124/F124</f>
        <v/>
      </c>
      <c r="M124" s="4">
        <f>I124/F124</f>
        <v/>
      </c>
      <c r="N124" s="3" t="n">
        <v>78</v>
      </c>
      <c r="O124" s="3" t="n">
        <v>13</v>
      </c>
      <c r="P124" s="2">
        <f>IF(F124&lt;100,"종료 100마리 미만","")</f>
        <v/>
      </c>
    </row>
    <row r="125">
      <c r="A125" s="2">
        <f>RANK(K125,$K$2:$K$454)</f>
        <v/>
      </c>
      <c r="B125" s="2" t="inlineStr">
        <is>
          <t>경기도</t>
        </is>
      </c>
      <c r="C125" s="2" t="inlineStr">
        <is>
          <t>경기도 파주시</t>
        </is>
      </c>
      <c r="D125" s="2" t="inlineStr">
        <is>
          <t>운정튼튼동물병원</t>
        </is>
      </c>
      <c r="E125" s="2" t="inlineStr">
        <is>
          <t>341406201500002</t>
        </is>
      </c>
      <c r="F125" s="3">
        <f>SUM(G125:J125)</f>
        <v/>
      </c>
      <c r="G125" s="3" t="n">
        <v>47</v>
      </c>
      <c r="H125" s="3" t="n">
        <v>5</v>
      </c>
      <c r="I125" s="3" t="n">
        <v>3</v>
      </c>
      <c r="J125" s="3" t="n">
        <v>16</v>
      </c>
      <c r="K125" s="4">
        <f>G125/F125</f>
        <v/>
      </c>
      <c r="L125" s="4">
        <f>H125/F125</f>
        <v/>
      </c>
      <c r="M125" s="4">
        <f>I125/F125</f>
        <v/>
      </c>
      <c r="N125" s="3" t="n">
        <v>11</v>
      </c>
      <c r="O125" s="3" t="n">
        <v>0</v>
      </c>
      <c r="P125" s="2">
        <f>IF(F125&lt;100,"종료 100마리 미만","")</f>
        <v/>
      </c>
    </row>
    <row r="126">
      <c r="A126" s="2">
        <f>RANK(K126,$K$2:$K$454)</f>
        <v/>
      </c>
      <c r="B126" s="2" t="inlineStr">
        <is>
          <t>대구광역시</t>
        </is>
      </c>
      <c r="C126" s="2" t="inlineStr">
        <is>
          <t>대구광역시 달성군</t>
        </is>
      </c>
      <c r="D126" s="2" t="inlineStr">
        <is>
          <t>명곡역동물병원</t>
        </is>
      </c>
      <c r="E126" s="2" t="inlineStr">
        <is>
          <t>327348201700004</t>
        </is>
      </c>
      <c r="F126" s="3">
        <f>SUM(G126:J126)</f>
        <v/>
      </c>
      <c r="G126" s="3" t="n">
        <v>54</v>
      </c>
      <c r="H126" s="3" t="n">
        <v>16</v>
      </c>
      <c r="I126" s="3" t="n">
        <v>12</v>
      </c>
      <c r="J126" s="3" t="n">
        <v>0</v>
      </c>
      <c r="K126" s="4">
        <f>G126/F126</f>
        <v/>
      </c>
      <c r="L126" s="4">
        <f>H126/F126</f>
        <v/>
      </c>
      <c r="M126" s="4">
        <f>I126/F126</f>
        <v/>
      </c>
      <c r="N126" s="3" t="n">
        <v>32</v>
      </c>
      <c r="O126" s="3" t="n">
        <v>0</v>
      </c>
      <c r="P126" s="2">
        <f>IF(F126&lt;100,"종료 100마리 미만","")</f>
        <v/>
      </c>
    </row>
    <row r="127">
      <c r="A127" s="2">
        <f>RANK(K127,$K$2:$K$454)</f>
        <v/>
      </c>
      <c r="B127" s="2" t="inlineStr">
        <is>
          <t>경기도</t>
        </is>
      </c>
      <c r="C127" s="2" t="inlineStr">
        <is>
          <t>경기도 수원시</t>
        </is>
      </c>
      <c r="D127" s="2" t="inlineStr">
        <is>
          <t>수원시 동물보호센터</t>
        </is>
      </c>
      <c r="E127" s="2" t="inlineStr">
        <is>
          <t>341374202000001</t>
        </is>
      </c>
      <c r="F127" s="3">
        <f>SUM(G127:J127)</f>
        <v/>
      </c>
      <c r="G127" s="3" t="n">
        <v>773</v>
      </c>
      <c r="H127" s="3" t="n">
        <v>272</v>
      </c>
      <c r="I127" s="3" t="n">
        <v>45</v>
      </c>
      <c r="J127" s="3" t="n">
        <v>85</v>
      </c>
      <c r="K127" s="4">
        <f>G127/F127</f>
        <v/>
      </c>
      <c r="L127" s="4">
        <f>H127/F127</f>
        <v/>
      </c>
      <c r="M127" s="4">
        <f>I127/F127</f>
        <v/>
      </c>
      <c r="N127" s="3" t="n">
        <v>1304</v>
      </c>
      <c r="O127" s="3" t="n">
        <v>53</v>
      </c>
      <c r="P127" s="2">
        <f>IF(F127&lt;100,"종료 100마리 미만","")</f>
        <v/>
      </c>
    </row>
    <row r="128">
      <c r="A128" s="2">
        <f>RANK(K128,$K$2:$K$454)</f>
        <v/>
      </c>
      <c r="B128" s="2" t="inlineStr">
        <is>
          <t>울산광역시</t>
        </is>
      </c>
      <c r="C128" s="2" t="inlineStr">
        <is>
          <t>울산광역시 남구</t>
        </is>
      </c>
      <c r="D128" s="2" t="inlineStr">
        <is>
          <t>주동물병원</t>
        </is>
      </c>
      <c r="E128" s="2" t="inlineStr">
        <is>
          <t>331370202000001</t>
        </is>
      </c>
      <c r="F128" s="3">
        <f>SUM(G128:J128)</f>
        <v/>
      </c>
      <c r="G128" s="3" t="n">
        <v>46</v>
      </c>
      <c r="H128" s="3" t="n">
        <v>16</v>
      </c>
      <c r="I128" s="3" t="n">
        <v>5</v>
      </c>
      <c r="J128" s="3" t="n">
        <v>3</v>
      </c>
      <c r="K128" s="4">
        <f>G128/F128</f>
        <v/>
      </c>
      <c r="L128" s="4">
        <f>H128/F128</f>
        <v/>
      </c>
      <c r="M128" s="4">
        <f>I128/F128</f>
        <v/>
      </c>
      <c r="N128" s="3" t="n">
        <v>13</v>
      </c>
      <c r="O128" s="3" t="n">
        <v>0</v>
      </c>
      <c r="P128" s="2">
        <f>IF(F128&lt;100,"종료 100마리 미만","")</f>
        <v/>
      </c>
    </row>
    <row r="129">
      <c r="A129" s="2">
        <f>RANK(K129,$K$2:$K$454)</f>
        <v/>
      </c>
      <c r="B129" s="2" t="inlineStr">
        <is>
          <t>서울특별시</t>
        </is>
      </c>
      <c r="C129" s="2" t="inlineStr">
        <is>
          <t>서울특별시 중랑구</t>
        </is>
      </c>
      <c r="D129" s="2" t="inlineStr">
        <is>
          <t>한국동물구조관리협회</t>
        </is>
      </c>
      <c r="E129" s="2" t="inlineStr">
        <is>
          <t>311306201300001</t>
        </is>
      </c>
      <c r="F129" s="3">
        <f>SUM(G129:J129)</f>
        <v/>
      </c>
      <c r="G129" s="3" t="n">
        <v>158</v>
      </c>
      <c r="H129" s="3" t="n">
        <v>59</v>
      </c>
      <c r="I129" s="3" t="n">
        <v>18</v>
      </c>
      <c r="J129" s="3" t="n">
        <v>7</v>
      </c>
      <c r="K129" s="4">
        <f>G129/F129</f>
        <v/>
      </c>
      <c r="L129" s="4">
        <f>H129/F129</f>
        <v/>
      </c>
      <c r="M129" s="4">
        <f>I129/F129</f>
        <v/>
      </c>
      <c r="N129" s="3" t="n">
        <v>233</v>
      </c>
      <c r="O129" s="3" t="n">
        <v>1</v>
      </c>
      <c r="P129" s="2">
        <f>IF(F129&lt;100,"종료 100마리 미만","")</f>
        <v/>
      </c>
    </row>
    <row r="130">
      <c r="A130" s="2">
        <f>RANK(K130,$K$2:$K$454)</f>
        <v/>
      </c>
      <c r="B130" s="2" t="inlineStr">
        <is>
          <t>서울특별시</t>
        </is>
      </c>
      <c r="C130" s="2" t="inlineStr">
        <is>
          <t>서울특별시 양천구</t>
        </is>
      </c>
      <c r="D130" s="2" t="inlineStr">
        <is>
          <t>강현림동물병원</t>
        </is>
      </c>
      <c r="E130" s="2" t="inlineStr">
        <is>
          <t>311314201000001</t>
        </is>
      </c>
      <c r="F130" s="3">
        <f>SUM(G130:J130)</f>
        <v/>
      </c>
      <c r="G130" s="3" t="n">
        <v>113</v>
      </c>
      <c r="H130" s="3" t="n">
        <v>19</v>
      </c>
      <c r="I130" s="3" t="n">
        <v>29</v>
      </c>
      <c r="J130" s="3" t="n">
        <v>13</v>
      </c>
      <c r="K130" s="4">
        <f>G130/F130</f>
        <v/>
      </c>
      <c r="L130" s="4">
        <f>H130/F130</f>
        <v/>
      </c>
      <c r="M130" s="4">
        <f>I130/F130</f>
        <v/>
      </c>
      <c r="N130" s="3" t="n">
        <v>271</v>
      </c>
      <c r="O130" s="3" t="n">
        <v>0</v>
      </c>
      <c r="P130" s="2">
        <f>IF(F130&lt;100,"종료 100마리 미만","")</f>
        <v/>
      </c>
    </row>
    <row r="131">
      <c r="A131" s="2">
        <f>RANK(K131,$K$2:$K$454)</f>
        <v/>
      </c>
      <c r="B131" s="2" t="inlineStr">
        <is>
          <t>서울특별시</t>
        </is>
      </c>
      <c r="C131" s="2" t="inlineStr">
        <is>
          <t>서울특별시 강남구</t>
        </is>
      </c>
      <c r="D131" s="2" t="inlineStr">
        <is>
          <t>한국동물구조관리협회</t>
        </is>
      </c>
      <c r="E131" s="2" t="inlineStr">
        <is>
          <t>311322200900001</t>
        </is>
      </c>
      <c r="F131" s="3">
        <f>SUM(G131:J131)</f>
        <v/>
      </c>
      <c r="G131" s="3" t="n">
        <v>117</v>
      </c>
      <c r="H131" s="3" t="n">
        <v>34</v>
      </c>
      <c r="I131" s="3" t="n">
        <v>11</v>
      </c>
      <c r="J131" s="3" t="n">
        <v>19</v>
      </c>
      <c r="K131" s="4">
        <f>G131/F131</f>
        <v/>
      </c>
      <c r="L131" s="4">
        <f>H131/F131</f>
        <v/>
      </c>
      <c r="M131" s="4">
        <f>I131/F131</f>
        <v/>
      </c>
      <c r="N131" s="3" t="n">
        <v>178</v>
      </c>
      <c r="O131" s="3" t="n">
        <v>1</v>
      </c>
      <c r="P131" s="2">
        <f>IF(F131&lt;100,"종료 100마리 미만","")</f>
        <v/>
      </c>
    </row>
    <row r="132">
      <c r="A132" s="2">
        <f>RANK(K132,$K$2:$K$454)</f>
        <v/>
      </c>
      <c r="B132" s="2" t="inlineStr">
        <is>
          <t>경상북도</t>
        </is>
      </c>
      <c r="C132" s="2" t="inlineStr">
        <is>
          <t>경상북도 성주군</t>
        </is>
      </c>
      <c r="D132" s="2" t="inlineStr">
        <is>
          <t>성주군동물보호센터</t>
        </is>
      </c>
      <c r="E132" s="2" t="inlineStr">
        <is>
          <t>347521201900002</t>
        </is>
      </c>
      <c r="F132" s="3">
        <f>SUM(G132:J132)</f>
        <v/>
      </c>
      <c r="G132" s="3" t="n">
        <v>940</v>
      </c>
      <c r="H132" s="3" t="n">
        <v>291</v>
      </c>
      <c r="I132" s="3" t="n">
        <v>225</v>
      </c>
      <c r="J132" s="3" t="n">
        <v>0</v>
      </c>
      <c r="K132" s="4">
        <f>G132/F132</f>
        <v/>
      </c>
      <c r="L132" s="4">
        <f>H132/F132</f>
        <v/>
      </c>
      <c r="M132" s="4">
        <f>I132/F132</f>
        <v/>
      </c>
      <c r="N132" s="3" t="n">
        <v>91</v>
      </c>
      <c r="O132" s="3" t="n">
        <v>182</v>
      </c>
      <c r="P132" s="2">
        <f>IF(F132&lt;100,"종료 100마리 미만","")</f>
        <v/>
      </c>
    </row>
    <row r="133">
      <c r="A133" s="2">
        <f>RANK(K133,$K$2:$K$454)</f>
        <v/>
      </c>
      <c r="B133" s="2" t="inlineStr">
        <is>
          <t>경기도</t>
        </is>
      </c>
      <c r="C133" s="2" t="inlineStr">
        <is>
          <t>경기도 가평군</t>
        </is>
      </c>
      <c r="D133" s="2" t="inlineStr">
        <is>
          <t>가평군유기동물보호소</t>
        </is>
      </c>
      <c r="E133" s="2" t="inlineStr">
        <is>
          <t>341416200900001</t>
        </is>
      </c>
      <c r="F133" s="3">
        <f>SUM(G133:J133)</f>
        <v/>
      </c>
      <c r="G133" s="3" t="n">
        <v>462</v>
      </c>
      <c r="H133" s="3" t="n">
        <v>26</v>
      </c>
      <c r="I133" s="3" t="n">
        <v>33</v>
      </c>
      <c r="J133" s="3" t="n">
        <v>200</v>
      </c>
      <c r="K133" s="4">
        <f>G133/F133</f>
        <v/>
      </c>
      <c r="L133" s="4">
        <f>H133/F133</f>
        <v/>
      </c>
      <c r="M133" s="4">
        <f>I133/F133</f>
        <v/>
      </c>
      <c r="N133" s="3" t="n">
        <v>114</v>
      </c>
      <c r="O133" s="3" t="n">
        <v>0</v>
      </c>
      <c r="P133" s="2">
        <f>IF(F133&lt;100,"종료 100마리 미만","")</f>
        <v/>
      </c>
    </row>
    <row r="134">
      <c r="A134" s="2">
        <f>RANK(K134,$K$2:$K$454)</f>
        <v/>
      </c>
      <c r="B134" s="2" t="inlineStr">
        <is>
          <t>전북특별자치도</t>
        </is>
      </c>
      <c r="C134" s="2" t="inlineStr">
        <is>
          <t>전북특별자치도 장수군</t>
        </is>
      </c>
      <c r="D134" s="2" t="inlineStr">
        <is>
          <t>장수군 보호소</t>
        </is>
      </c>
      <c r="E134" s="2" t="inlineStr">
        <is>
          <t>345475202200003</t>
        </is>
      </c>
      <c r="F134" s="3">
        <f>SUM(G134:J134)</f>
        <v/>
      </c>
      <c r="G134" s="3" t="n">
        <v>53</v>
      </c>
      <c r="H134" s="3" t="n">
        <v>0</v>
      </c>
      <c r="I134" s="3" t="n">
        <v>29</v>
      </c>
      <c r="J134" s="3" t="n">
        <v>1</v>
      </c>
      <c r="K134" s="4">
        <f>G134/F134</f>
        <v/>
      </c>
      <c r="L134" s="4">
        <f>H134/F134</f>
        <v/>
      </c>
      <c r="M134" s="4">
        <f>I134/F134</f>
        <v/>
      </c>
      <c r="N134" s="3" t="n">
        <v>6</v>
      </c>
      <c r="O134" s="3" t="n">
        <v>191</v>
      </c>
      <c r="P134" s="2">
        <f>IF(F134&lt;100,"종료 100마리 미만","")</f>
        <v/>
      </c>
    </row>
    <row r="135">
      <c r="A135" s="2">
        <f>RANK(K135,$K$2:$K$454)</f>
        <v/>
      </c>
      <c r="B135" s="2" t="inlineStr">
        <is>
          <t>강원특별자치도</t>
        </is>
      </c>
      <c r="C135" s="2" t="inlineStr">
        <is>
          <t>강원특별자치도 속초시</t>
        </is>
      </c>
      <c r="D135" s="2" t="inlineStr">
        <is>
          <t>속초시유기동물보호소</t>
        </is>
      </c>
      <c r="E135" s="2" t="inlineStr">
        <is>
          <t>342423201200001</t>
        </is>
      </c>
      <c r="F135" s="3">
        <f>SUM(G135:J135)</f>
        <v/>
      </c>
      <c r="G135" s="3" t="n">
        <v>275</v>
      </c>
      <c r="H135" s="3" t="n">
        <v>0</v>
      </c>
      <c r="I135" s="3" t="n">
        <v>156</v>
      </c>
      <c r="J135" s="3" t="n">
        <v>0</v>
      </c>
      <c r="K135" s="4">
        <f>G135/F135</f>
        <v/>
      </c>
      <c r="L135" s="4">
        <f>H135/F135</f>
        <v/>
      </c>
      <c r="M135" s="4">
        <f>I135/F135</f>
        <v/>
      </c>
      <c r="N135" s="3" t="n">
        <v>407</v>
      </c>
      <c r="O135" s="3" t="n">
        <v>57</v>
      </c>
      <c r="P135" s="2">
        <f>IF(F135&lt;100,"종료 100마리 미만","")</f>
        <v/>
      </c>
    </row>
    <row r="136">
      <c r="A136" s="2">
        <f>RANK(K136,$K$2:$K$454)</f>
        <v/>
      </c>
      <c r="B136" s="2" t="inlineStr">
        <is>
          <t>강원특별자치도</t>
        </is>
      </c>
      <c r="C136" s="2" t="inlineStr">
        <is>
          <t>강원특별자치도 평창군</t>
        </is>
      </c>
      <c r="D136" s="2" t="inlineStr">
        <is>
          <t>평창군유기동물보호소</t>
        </is>
      </c>
      <c r="E136" s="2" t="inlineStr">
        <is>
          <t>342428200900001</t>
        </is>
      </c>
      <c r="F136" s="3">
        <f>SUM(G136:J136)</f>
        <v/>
      </c>
      <c r="G136" s="3" t="n">
        <v>193</v>
      </c>
      <c r="H136" s="3" t="n">
        <v>27</v>
      </c>
      <c r="I136" s="3" t="n">
        <v>83</v>
      </c>
      <c r="J136" s="3" t="n">
        <v>0</v>
      </c>
      <c r="K136" s="4">
        <f>G136/F136</f>
        <v/>
      </c>
      <c r="L136" s="4">
        <f>H136/F136</f>
        <v/>
      </c>
      <c r="M136" s="4">
        <f>I136/F136</f>
        <v/>
      </c>
      <c r="N136" s="3" t="n">
        <v>22</v>
      </c>
      <c r="O136" s="3" t="n">
        <v>24</v>
      </c>
      <c r="P136" s="2">
        <f>IF(F136&lt;100,"종료 100마리 미만","")</f>
        <v/>
      </c>
    </row>
    <row r="137">
      <c r="A137" s="2">
        <f>RANK(K137,$K$2:$K$454)</f>
        <v/>
      </c>
      <c r="B137" s="2" t="inlineStr">
        <is>
          <t>대전광역시</t>
        </is>
      </c>
      <c r="C137" s="2" t="inlineStr">
        <is>
          <t>대전광역시 중구</t>
        </is>
      </c>
      <c r="D137" s="2" t="inlineStr">
        <is>
          <t>대전동물보호센터</t>
        </is>
      </c>
      <c r="E137" s="2" t="inlineStr">
        <is>
          <t>330365202000001</t>
        </is>
      </c>
      <c r="F137" s="3">
        <f>SUM(G137:J137)</f>
        <v/>
      </c>
      <c r="G137" s="3" t="n">
        <v>324</v>
      </c>
      <c r="H137" s="3" t="n">
        <v>159</v>
      </c>
      <c r="I137" s="3" t="n">
        <v>30</v>
      </c>
      <c r="J137" s="3" t="n">
        <v>3</v>
      </c>
      <c r="K137" s="4">
        <f>G137/F137</f>
        <v/>
      </c>
      <c r="L137" s="4">
        <f>H137/F137</f>
        <v/>
      </c>
      <c r="M137" s="4">
        <f>I137/F137</f>
        <v/>
      </c>
      <c r="N137" s="3" t="n">
        <v>625</v>
      </c>
      <c r="O137" s="3" t="n">
        <v>11</v>
      </c>
      <c r="P137" s="2">
        <f>IF(F137&lt;100,"종료 100마리 미만","")</f>
        <v/>
      </c>
    </row>
    <row r="138">
      <c r="A138" s="2">
        <f>RANK(K138,$K$2:$K$454)</f>
        <v/>
      </c>
      <c r="B138" s="2" t="inlineStr">
        <is>
          <t>전남광주통합특별시</t>
        </is>
      </c>
      <c r="C138" s="2" t="inlineStr">
        <is>
          <t>전남광주통합특별시 구례군</t>
        </is>
      </c>
      <c r="D138" s="2" t="inlineStr">
        <is>
          <t>구례군동물보호센터</t>
        </is>
      </c>
      <c r="E138" s="2" t="inlineStr">
        <is>
          <t>346487201800001</t>
        </is>
      </c>
      <c r="F138" s="3">
        <f>SUM(G138:J138)</f>
        <v/>
      </c>
      <c r="G138" s="3" t="n">
        <v>352</v>
      </c>
      <c r="H138" s="3" t="n">
        <v>11</v>
      </c>
      <c r="I138" s="3" t="n">
        <v>70</v>
      </c>
      <c r="J138" s="3" t="n">
        <v>134</v>
      </c>
      <c r="K138" s="4">
        <f>G138/F138</f>
        <v/>
      </c>
      <c r="L138" s="4">
        <f>H138/F138</f>
        <v/>
      </c>
      <c r="M138" s="4">
        <f>I138/F138</f>
        <v/>
      </c>
      <c r="N138" s="3" t="n">
        <v>28</v>
      </c>
      <c r="O138" s="3" t="n">
        <v>28</v>
      </c>
      <c r="P138" s="2">
        <f>IF(F138&lt;100,"종료 100마리 미만","")</f>
        <v/>
      </c>
    </row>
    <row r="139">
      <c r="A139" s="2">
        <f>RANK(K139,$K$2:$K$454)</f>
        <v/>
      </c>
      <c r="B139" s="2" t="inlineStr">
        <is>
          <t>대전광역시</t>
        </is>
      </c>
      <c r="C139" s="2" t="inlineStr">
        <is>
          <t>대전광역시 대덕구</t>
        </is>
      </c>
      <c r="D139" s="2" t="inlineStr">
        <is>
          <t>대전동물보호센터</t>
        </is>
      </c>
      <c r="E139" s="2" t="inlineStr">
        <is>
          <t>330368202000001</t>
        </is>
      </c>
      <c r="F139" s="3">
        <f>SUM(G139:J139)</f>
        <v/>
      </c>
      <c r="G139" s="3" t="n">
        <v>271</v>
      </c>
      <c r="H139" s="3" t="n">
        <v>147</v>
      </c>
      <c r="I139" s="3" t="n">
        <v>17</v>
      </c>
      <c r="J139" s="3" t="n">
        <v>3</v>
      </c>
      <c r="K139" s="4">
        <f>G139/F139</f>
        <v/>
      </c>
      <c r="L139" s="4">
        <f>H139/F139</f>
        <v/>
      </c>
      <c r="M139" s="4">
        <f>I139/F139</f>
        <v/>
      </c>
      <c r="N139" s="3" t="n">
        <v>487</v>
      </c>
      <c r="O139" s="3" t="n">
        <v>14</v>
      </c>
      <c r="P139" s="2">
        <f>IF(F139&lt;100,"종료 100마리 미만","")</f>
        <v/>
      </c>
    </row>
    <row r="140">
      <c r="A140" s="2">
        <f>RANK(K140,$K$2:$K$454)</f>
        <v/>
      </c>
      <c r="B140" s="2" t="inlineStr">
        <is>
          <t>대구광역시</t>
        </is>
      </c>
      <c r="C140" s="2" t="inlineStr">
        <is>
          <t>대구광역시 중구</t>
        </is>
      </c>
      <c r="D140" s="2" t="inlineStr">
        <is>
          <t>대구시수의사회(동인)</t>
        </is>
      </c>
      <c r="E140" s="2" t="inlineStr">
        <is>
          <t>327341201200001</t>
        </is>
      </c>
      <c r="F140" s="3">
        <f>SUM(G140:J140)</f>
        <v/>
      </c>
      <c r="G140" s="3" t="n">
        <v>86</v>
      </c>
      <c r="H140" s="3" t="n">
        <v>45</v>
      </c>
      <c r="I140" s="3" t="n">
        <v>8</v>
      </c>
      <c r="J140" s="3" t="n">
        <v>0</v>
      </c>
      <c r="K140" s="4">
        <f>G140/F140</f>
        <v/>
      </c>
      <c r="L140" s="4">
        <f>H140/F140</f>
        <v/>
      </c>
      <c r="M140" s="4">
        <f>I140/F140</f>
        <v/>
      </c>
      <c r="N140" s="3" t="n">
        <v>127</v>
      </c>
      <c r="O140" s="3" t="n">
        <v>0</v>
      </c>
      <c r="P140" s="2">
        <f>IF(F140&lt;100,"종료 100마리 미만","")</f>
        <v/>
      </c>
    </row>
    <row r="141">
      <c r="A141" s="2">
        <f>RANK(K141,$K$2:$K$454)</f>
        <v/>
      </c>
      <c r="B141" s="2" t="inlineStr">
        <is>
          <t>충청북도</t>
        </is>
      </c>
      <c r="C141" s="2" t="inlineStr">
        <is>
          <t>충청북도 청주시</t>
        </is>
      </c>
      <c r="D141" s="2" t="inlineStr">
        <is>
          <t>반려동물보호센터</t>
        </is>
      </c>
      <c r="E141" s="2" t="inlineStr">
        <is>
          <t>343571201600001</t>
        </is>
      </c>
      <c r="F141" s="3">
        <f>SUM(G141:J141)</f>
        <v/>
      </c>
      <c r="G141" s="3" t="n">
        <v>1890</v>
      </c>
      <c r="H141" s="3" t="n">
        <v>552</v>
      </c>
      <c r="I141" s="3" t="n">
        <v>140</v>
      </c>
      <c r="J141" s="3" t="n">
        <v>475</v>
      </c>
      <c r="K141" s="4">
        <f>G141/F141</f>
        <v/>
      </c>
      <c r="L141" s="4">
        <f>H141/F141</f>
        <v/>
      </c>
      <c r="M141" s="4">
        <f>I141/F141</f>
        <v/>
      </c>
      <c r="N141" s="3" t="n">
        <v>1328</v>
      </c>
      <c r="O141" s="3" t="n">
        <v>44</v>
      </c>
      <c r="P141" s="2">
        <f>IF(F141&lt;100,"종료 100마리 미만","")</f>
        <v/>
      </c>
    </row>
    <row r="142">
      <c r="A142" s="2">
        <f>RANK(K142,$K$2:$K$454)</f>
        <v/>
      </c>
      <c r="B142" s="2" t="inlineStr">
        <is>
          <t>경기도</t>
        </is>
      </c>
      <c r="C142" s="2" t="inlineStr">
        <is>
          <t>경기도 부천시</t>
        </is>
      </c>
      <c r="D142" s="2" t="inlineStr">
        <is>
          <t>가나동물병원</t>
        </is>
      </c>
      <c r="E142" s="2" t="inlineStr">
        <is>
          <t>341386201800001</t>
        </is>
      </c>
      <c r="F142" s="3">
        <f>SUM(G142:J142)</f>
        <v/>
      </c>
      <c r="G142" s="3" t="n">
        <v>153</v>
      </c>
      <c r="H142" s="3" t="n">
        <v>21</v>
      </c>
      <c r="I142" s="3" t="n">
        <v>18</v>
      </c>
      <c r="J142" s="3" t="n">
        <v>56</v>
      </c>
      <c r="K142" s="4">
        <f>G142/F142</f>
        <v/>
      </c>
      <c r="L142" s="4">
        <f>H142/F142</f>
        <v/>
      </c>
      <c r="M142" s="4">
        <f>I142/F142</f>
        <v/>
      </c>
      <c r="N142" s="3" t="n">
        <v>198</v>
      </c>
      <c r="O142" s="3" t="n">
        <v>1</v>
      </c>
      <c r="P142" s="2">
        <f>IF(F142&lt;100,"종료 100마리 미만","")</f>
        <v/>
      </c>
    </row>
    <row r="143">
      <c r="A143" s="2">
        <f>RANK(K143,$K$2:$K$454)</f>
        <v/>
      </c>
      <c r="B143" s="2" t="inlineStr">
        <is>
          <t>대구광역시</t>
        </is>
      </c>
      <c r="C143" s="2" t="inlineStr">
        <is>
          <t>대구광역시 달성군</t>
        </is>
      </c>
      <c r="D143" s="2" t="inlineStr">
        <is>
          <t>포산동물병원</t>
        </is>
      </c>
      <c r="E143" s="2" t="inlineStr">
        <is>
          <t>327348201500001</t>
        </is>
      </c>
      <c r="F143" s="3">
        <f>SUM(G143:J143)</f>
        <v/>
      </c>
      <c r="G143" s="3" t="n">
        <v>40</v>
      </c>
      <c r="H143" s="3" t="n">
        <v>23</v>
      </c>
      <c r="I143" s="3" t="n">
        <v>2</v>
      </c>
      <c r="J143" s="3" t="n">
        <v>0</v>
      </c>
      <c r="K143" s="4">
        <f>G143/F143</f>
        <v/>
      </c>
      <c r="L143" s="4">
        <f>H143/F143</f>
        <v/>
      </c>
      <c r="M143" s="4">
        <f>I143/F143</f>
        <v/>
      </c>
      <c r="N143" s="3" t="n">
        <v>7</v>
      </c>
      <c r="O143" s="3" t="n">
        <v>0</v>
      </c>
      <c r="P143" s="2">
        <f>IF(F143&lt;100,"종료 100마리 미만","")</f>
        <v/>
      </c>
    </row>
    <row r="144">
      <c r="A144" s="2">
        <f>RANK(K144,$K$2:$K$454)</f>
        <v/>
      </c>
      <c r="B144" s="2" t="inlineStr">
        <is>
          <t>대전광역시</t>
        </is>
      </c>
      <c r="C144" s="2" t="inlineStr">
        <is>
          <t>대전광역시 동구</t>
        </is>
      </c>
      <c r="D144" s="2" t="inlineStr">
        <is>
          <t>대전동물보호센터</t>
        </is>
      </c>
      <c r="E144" s="2" t="inlineStr">
        <is>
          <t>330364202000001</t>
        </is>
      </c>
      <c r="F144" s="3">
        <f>SUM(G144:J144)</f>
        <v/>
      </c>
      <c r="G144" s="3" t="n">
        <v>442</v>
      </c>
      <c r="H144" s="3" t="n">
        <v>240</v>
      </c>
      <c r="I144" s="3" t="n">
        <v>21</v>
      </c>
      <c r="J144" s="3" t="n">
        <v>20</v>
      </c>
      <c r="K144" s="4">
        <f>G144/F144</f>
        <v/>
      </c>
      <c r="L144" s="4">
        <f>H144/F144</f>
        <v/>
      </c>
      <c r="M144" s="4">
        <f>I144/F144</f>
        <v/>
      </c>
      <c r="N144" s="3" t="n">
        <v>641</v>
      </c>
      <c r="O144" s="3" t="n">
        <v>26</v>
      </c>
      <c r="P144" s="2">
        <f>IF(F144&lt;100,"종료 100마리 미만","")</f>
        <v/>
      </c>
    </row>
    <row r="145">
      <c r="A145" s="2">
        <f>RANK(K145,$K$2:$K$454)</f>
        <v/>
      </c>
      <c r="B145" s="2" t="inlineStr">
        <is>
          <t>인천광역시</t>
        </is>
      </c>
      <c r="C145" s="2" t="inlineStr">
        <is>
          <t>인천광역시 부평구</t>
        </is>
      </c>
      <c r="D145" s="2" t="inlineStr">
        <is>
          <t>삼산종합동물병원</t>
        </is>
      </c>
      <c r="E145" s="2" t="inlineStr">
        <is>
          <t>328354201700003</t>
        </is>
      </c>
      <c r="F145" s="3">
        <f>SUM(G145:J145)</f>
        <v/>
      </c>
      <c r="G145" s="3" t="n">
        <v>98</v>
      </c>
      <c r="H145" s="3" t="n">
        <v>45</v>
      </c>
      <c r="I145" s="3" t="n">
        <v>19</v>
      </c>
      <c r="J145" s="3" t="n">
        <v>0</v>
      </c>
      <c r="K145" s="4">
        <f>G145/F145</f>
        <v/>
      </c>
      <c r="L145" s="4">
        <f>H145/F145</f>
        <v/>
      </c>
      <c r="M145" s="4">
        <f>I145/F145</f>
        <v/>
      </c>
      <c r="N145" s="3" t="n">
        <v>269</v>
      </c>
      <c r="O145" s="3" t="n">
        <v>3</v>
      </c>
      <c r="P145" s="2">
        <f>IF(F145&lt;100,"종료 100마리 미만","")</f>
        <v/>
      </c>
    </row>
    <row r="146">
      <c r="A146" s="2">
        <f>RANK(K146,$K$2:$K$454)</f>
        <v/>
      </c>
      <c r="B146" s="2" t="inlineStr">
        <is>
          <t>경상북도</t>
        </is>
      </c>
      <c r="C146" s="2" t="inlineStr">
        <is>
          <t>경상북도 성주군</t>
        </is>
      </c>
      <c r="D146" s="2" t="inlineStr">
        <is>
          <t>바른길동물병원</t>
        </is>
      </c>
      <c r="E146" s="2" t="inlineStr">
        <is>
          <t>347521202200001</t>
        </is>
      </c>
      <c r="F146" s="3">
        <f>SUM(G146:J146)</f>
        <v/>
      </c>
      <c r="G146" s="3" t="n">
        <v>6</v>
      </c>
      <c r="H146" s="3" t="n">
        <v>3</v>
      </c>
      <c r="I146" s="3" t="n">
        <v>1</v>
      </c>
      <c r="J146" s="3" t="n">
        <v>0</v>
      </c>
      <c r="K146" s="4">
        <f>G146/F146</f>
        <v/>
      </c>
      <c r="L146" s="4">
        <f>H146/F146</f>
        <v/>
      </c>
      <c r="M146" s="4">
        <f>I146/F146</f>
        <v/>
      </c>
      <c r="N146" s="3" t="n">
        <v>0</v>
      </c>
      <c r="O146" s="3" t="n">
        <v>0</v>
      </c>
      <c r="P146" s="2">
        <f>IF(F146&lt;100,"종료 100마리 미만","")</f>
        <v/>
      </c>
    </row>
    <row r="147">
      <c r="A147" s="2">
        <f>RANK(K147,$K$2:$K$454)</f>
        <v/>
      </c>
      <c r="B147" s="2" t="inlineStr">
        <is>
          <t>서울특별시</t>
        </is>
      </c>
      <c r="C147" s="2" t="inlineStr">
        <is>
          <t>서울특별시 광진구</t>
        </is>
      </c>
      <c r="D147" s="2" t="inlineStr">
        <is>
          <t>한국동물구조관리협회</t>
        </is>
      </c>
      <c r="E147" s="2" t="inlineStr">
        <is>
          <t>311304200900003</t>
        </is>
      </c>
      <c r="F147" s="3">
        <f>SUM(G147:J147)</f>
        <v/>
      </c>
      <c r="G147" s="3" t="n">
        <v>104</v>
      </c>
      <c r="H147" s="3" t="n">
        <v>40</v>
      </c>
      <c r="I147" s="3" t="n">
        <v>14</v>
      </c>
      <c r="J147" s="3" t="n">
        <v>16</v>
      </c>
      <c r="K147" s="4">
        <f>G147/F147</f>
        <v/>
      </c>
      <c r="L147" s="4">
        <f>H147/F147</f>
        <v/>
      </c>
      <c r="M147" s="4">
        <f>I147/F147</f>
        <v/>
      </c>
      <c r="N147" s="3" t="n">
        <v>139</v>
      </c>
      <c r="O147" s="3" t="n">
        <v>0</v>
      </c>
      <c r="P147" s="2">
        <f>IF(F147&lt;100,"종료 100마리 미만","")</f>
        <v/>
      </c>
    </row>
    <row r="148">
      <c r="A148" s="2">
        <f>RANK(K148,$K$2:$K$454)</f>
        <v/>
      </c>
      <c r="B148" s="2" t="inlineStr">
        <is>
          <t>경상북도</t>
        </is>
      </c>
      <c r="C148" s="2" t="inlineStr">
        <is>
          <t>경상북도 포항시</t>
        </is>
      </c>
      <c r="D148" s="2" t="inlineStr">
        <is>
          <t>(사)영일동물플러스</t>
        </is>
      </c>
      <c r="E148" s="2" t="inlineStr">
        <is>
          <t>347502201600001</t>
        </is>
      </c>
      <c r="F148" s="3">
        <f>SUM(G148:J148)</f>
        <v/>
      </c>
      <c r="G148" s="3" t="n">
        <v>2342</v>
      </c>
      <c r="H148" s="3" t="n">
        <v>1250</v>
      </c>
      <c r="I148" s="3" t="n">
        <v>321</v>
      </c>
      <c r="J148" s="3" t="n">
        <v>15</v>
      </c>
      <c r="K148" s="4">
        <f>G148/F148</f>
        <v/>
      </c>
      <c r="L148" s="4">
        <f>H148/F148</f>
        <v/>
      </c>
      <c r="M148" s="4">
        <f>I148/F148</f>
        <v/>
      </c>
      <c r="N148" s="3" t="n">
        <v>709</v>
      </c>
      <c r="O148" s="3" t="n">
        <v>53</v>
      </c>
      <c r="P148" s="2">
        <f>IF(F148&lt;100,"종료 100마리 미만","")</f>
        <v/>
      </c>
    </row>
    <row r="149">
      <c r="A149" s="2">
        <f>RANK(K149,$K$2:$K$454)</f>
        <v/>
      </c>
      <c r="B149" s="2" t="inlineStr">
        <is>
          <t>인천광역시</t>
        </is>
      </c>
      <c r="C149" s="2" t="inlineStr">
        <is>
          <t>인천광역시 서해구</t>
        </is>
      </c>
      <c r="D149" s="2" t="inlineStr">
        <is>
          <t>가정동물병원</t>
        </is>
      </c>
      <c r="E149" s="2" t="inlineStr">
        <is>
          <t>328356201000001</t>
        </is>
      </c>
      <c r="F149" s="3">
        <f>SUM(G149:J149)</f>
        <v/>
      </c>
      <c r="G149" s="3" t="n">
        <v>600</v>
      </c>
      <c r="H149" s="3" t="n">
        <v>187</v>
      </c>
      <c r="I149" s="3" t="n">
        <v>72</v>
      </c>
      <c r="J149" s="3" t="n">
        <v>155</v>
      </c>
      <c r="K149" s="4">
        <f>G149/F149</f>
        <v/>
      </c>
      <c r="L149" s="4">
        <f>H149/F149</f>
        <v/>
      </c>
      <c r="M149" s="4">
        <f>I149/F149</f>
        <v/>
      </c>
      <c r="N149" s="3" t="n">
        <v>525</v>
      </c>
      <c r="O149" s="3" t="n">
        <v>3</v>
      </c>
      <c r="P149" s="2">
        <f>IF(F149&lt;100,"종료 100마리 미만","")</f>
        <v/>
      </c>
    </row>
    <row r="150">
      <c r="A150" s="2">
        <f>RANK(K150,$K$2:$K$454)</f>
        <v/>
      </c>
      <c r="B150" s="2" t="inlineStr">
        <is>
          <t>전남광주통합특별시</t>
        </is>
      </c>
      <c r="C150" s="2" t="inlineStr">
        <is>
          <t>전남광주통합특별시 북구</t>
        </is>
      </c>
      <c r="D150" s="2" t="inlineStr">
        <is>
          <t>광주첨단YB동물병원</t>
        </is>
      </c>
      <c r="E150" s="2" t="inlineStr">
        <is>
          <t>329362202400001</t>
        </is>
      </c>
      <c r="F150" s="3">
        <f>SUM(G150:J150)</f>
        <v/>
      </c>
      <c r="G150" s="3" t="n">
        <v>10</v>
      </c>
      <c r="H150" s="3" t="n">
        <v>2</v>
      </c>
      <c r="I150" s="3" t="n">
        <v>4</v>
      </c>
      <c r="J150" s="3" t="n">
        <v>1</v>
      </c>
      <c r="K150" s="4">
        <f>G150/F150</f>
        <v/>
      </c>
      <c r="L150" s="4">
        <f>H150/F150</f>
        <v/>
      </c>
      <c r="M150" s="4">
        <f>I150/F150</f>
        <v/>
      </c>
      <c r="N150" s="3" t="n">
        <v>4</v>
      </c>
      <c r="O150" s="3" t="n">
        <v>0</v>
      </c>
      <c r="P150" s="2">
        <f>IF(F150&lt;100,"종료 100마리 미만","")</f>
        <v/>
      </c>
    </row>
    <row r="151">
      <c r="A151" s="2">
        <f>RANK(K151,$K$2:$K$454)</f>
        <v/>
      </c>
      <c r="B151" s="2" t="inlineStr">
        <is>
          <t>경상북도</t>
        </is>
      </c>
      <c r="C151" s="2" t="inlineStr">
        <is>
          <t>경상북도 영양군</t>
        </is>
      </c>
      <c r="D151" s="2" t="inlineStr">
        <is>
          <t>영양군유기동물보호소</t>
        </is>
      </c>
      <c r="E151" s="2" t="inlineStr">
        <is>
          <t>347517201400001</t>
        </is>
      </c>
      <c r="F151" s="3">
        <f>SUM(G151:J151)</f>
        <v/>
      </c>
      <c r="G151" s="3" t="n">
        <v>151</v>
      </c>
      <c r="H151" s="3" t="n">
        <v>5</v>
      </c>
      <c r="I151" s="3" t="n">
        <v>80</v>
      </c>
      <c r="J151" s="3" t="n">
        <v>21</v>
      </c>
      <c r="K151" s="4">
        <f>G151/F151</f>
        <v/>
      </c>
      <c r="L151" s="4">
        <f>H151/F151</f>
        <v/>
      </c>
      <c r="M151" s="4">
        <f>I151/F151</f>
        <v/>
      </c>
      <c r="N151" s="3" t="n">
        <v>28</v>
      </c>
      <c r="O151" s="3" t="n">
        <v>7</v>
      </c>
      <c r="P151" s="2">
        <f>IF(F151&lt;100,"종료 100마리 미만","")</f>
        <v/>
      </c>
    </row>
    <row r="152">
      <c r="A152" s="2">
        <f>RANK(K152,$K$2:$K$454)</f>
        <v/>
      </c>
      <c r="B152" s="2" t="inlineStr">
        <is>
          <t>전북특별자치도</t>
        </is>
      </c>
      <c r="C152" s="2" t="inlineStr">
        <is>
          <t>전북특별자치도 장수군</t>
        </is>
      </c>
      <c r="D152" s="2" t="inlineStr">
        <is>
          <t>제이준동물병원</t>
        </is>
      </c>
      <c r="E152" s="2" t="inlineStr">
        <is>
          <t>345475202200001</t>
        </is>
      </c>
      <c r="F152" s="3">
        <f>SUM(G152:J152)</f>
        <v/>
      </c>
      <c r="G152" s="3" t="n">
        <v>27</v>
      </c>
      <c r="H152" s="3" t="n">
        <v>0</v>
      </c>
      <c r="I152" s="3" t="n">
        <v>19</v>
      </c>
      <c r="J152" s="3" t="n">
        <v>0</v>
      </c>
      <c r="K152" s="4">
        <f>G152/F152</f>
        <v/>
      </c>
      <c r="L152" s="4">
        <f>H152/F152</f>
        <v/>
      </c>
      <c r="M152" s="4">
        <f>I152/F152</f>
        <v/>
      </c>
      <c r="N152" s="3" t="n">
        <v>0</v>
      </c>
      <c r="O152" s="3" t="n">
        <v>13</v>
      </c>
      <c r="P152" s="2">
        <f>IF(F152&lt;100,"종료 100마리 미만","")</f>
        <v/>
      </c>
    </row>
    <row r="153">
      <c r="A153" s="2">
        <f>RANK(K153,$K$2:$K$454)</f>
        <v/>
      </c>
      <c r="B153" s="2" t="inlineStr">
        <is>
          <t>전북특별자치도</t>
        </is>
      </c>
      <c r="C153" s="2" t="inlineStr">
        <is>
          <t>전북특별자치도 전주시</t>
        </is>
      </c>
      <c r="D153" s="2" t="inlineStr">
        <is>
          <t>패밀리동물병원</t>
        </is>
      </c>
      <c r="E153" s="2" t="inlineStr">
        <is>
          <t>345464202500002</t>
        </is>
      </c>
      <c r="F153" s="3">
        <f>SUM(G153:J153)</f>
        <v/>
      </c>
      <c r="G153" s="3" t="n">
        <v>17</v>
      </c>
      <c r="H153" s="3" t="n">
        <v>10</v>
      </c>
      <c r="I153" s="3" t="n">
        <v>2</v>
      </c>
      <c r="J153" s="3" t="n">
        <v>0</v>
      </c>
      <c r="K153" s="4">
        <f>G153/F153</f>
        <v/>
      </c>
      <c r="L153" s="4">
        <f>H153/F153</f>
        <v/>
      </c>
      <c r="M153" s="4">
        <f>I153/F153</f>
        <v/>
      </c>
      <c r="N153" s="3" t="n">
        <v>4</v>
      </c>
      <c r="O153" s="3" t="n">
        <v>0</v>
      </c>
      <c r="P153" s="2">
        <f>IF(F153&lt;100,"종료 100마리 미만","")</f>
        <v/>
      </c>
    </row>
    <row r="154">
      <c r="A154" s="2">
        <f>RANK(K154,$K$2:$K$454)</f>
        <v/>
      </c>
      <c r="B154" s="2" t="inlineStr">
        <is>
          <t>충청남도</t>
        </is>
      </c>
      <c r="C154" s="2" t="inlineStr">
        <is>
          <t>충청남도 태안군</t>
        </is>
      </c>
      <c r="D154" s="2" t="inlineStr">
        <is>
          <t>태안 동물보호소</t>
        </is>
      </c>
      <c r="E154" s="2" t="inlineStr">
        <is>
          <t>344462202400001</t>
        </is>
      </c>
      <c r="F154" s="3">
        <f>SUM(G154:J154)</f>
        <v/>
      </c>
      <c r="G154" s="3" t="n">
        <v>120</v>
      </c>
      <c r="H154" s="3" t="n">
        <v>12</v>
      </c>
      <c r="I154" s="3" t="n">
        <v>72</v>
      </c>
      <c r="J154" s="3" t="n">
        <v>1</v>
      </c>
      <c r="K154" s="4">
        <f>G154/F154</f>
        <v/>
      </c>
      <c r="L154" s="4">
        <f>H154/F154</f>
        <v/>
      </c>
      <c r="M154" s="4">
        <f>I154/F154</f>
        <v/>
      </c>
      <c r="N154" s="3" t="n">
        <v>3</v>
      </c>
      <c r="O154" s="3" t="n">
        <v>41</v>
      </c>
      <c r="P154" s="2">
        <f>IF(F154&lt;100,"종료 100마리 미만","")</f>
        <v/>
      </c>
    </row>
    <row r="155">
      <c r="A155" s="2">
        <f>RANK(K155,$K$2:$K$454)</f>
        <v/>
      </c>
      <c r="B155" s="2" t="inlineStr">
        <is>
          <t>부산광역시</t>
        </is>
      </c>
      <c r="C155" s="2" t="inlineStr">
        <is>
          <t>부산광역시 부산진구</t>
        </is>
      </c>
      <c r="D155" s="2" t="inlineStr">
        <is>
          <t>동물보호관리협회</t>
        </is>
      </c>
      <c r="E155" s="2" t="inlineStr">
        <is>
          <t>326329201700001</t>
        </is>
      </c>
      <c r="F155" s="3">
        <f>SUM(G155:J155)</f>
        <v/>
      </c>
      <c r="G155" s="3" t="n">
        <v>322</v>
      </c>
      <c r="H155" s="3" t="n">
        <v>16</v>
      </c>
      <c r="I155" s="3" t="n">
        <v>206</v>
      </c>
      <c r="J155" s="3" t="n">
        <v>7</v>
      </c>
      <c r="K155" s="4">
        <f>G155/F155</f>
        <v/>
      </c>
      <c r="L155" s="4">
        <f>H155/F155</f>
        <v/>
      </c>
      <c r="M155" s="4">
        <f>I155/F155</f>
        <v/>
      </c>
      <c r="N155" s="3" t="n">
        <v>212</v>
      </c>
      <c r="O155" s="3" t="n">
        <v>0</v>
      </c>
      <c r="P155" s="2">
        <f>IF(F155&lt;100,"종료 100마리 미만","")</f>
        <v/>
      </c>
    </row>
    <row r="156">
      <c r="A156" s="2">
        <f>RANK(K156,$K$2:$K$454)</f>
        <v/>
      </c>
      <c r="B156" s="2" t="inlineStr">
        <is>
          <t>서울특별시</t>
        </is>
      </c>
      <c r="C156" s="2" t="inlineStr">
        <is>
          <t>서울특별시 동작구</t>
        </is>
      </c>
      <c r="D156" s="2" t="inlineStr">
        <is>
          <t>디아크동물종합병원</t>
        </is>
      </c>
      <c r="E156" s="2" t="inlineStr">
        <is>
          <t>311319201200001</t>
        </is>
      </c>
      <c r="F156" s="3">
        <f>SUM(G156:J156)</f>
        <v/>
      </c>
      <c r="G156" s="3" t="n">
        <v>76</v>
      </c>
      <c r="H156" s="3" t="n">
        <v>40</v>
      </c>
      <c r="I156" s="3" t="n">
        <v>5</v>
      </c>
      <c r="J156" s="3" t="n">
        <v>10</v>
      </c>
      <c r="K156" s="4">
        <f>G156/F156</f>
        <v/>
      </c>
      <c r="L156" s="4">
        <f>H156/F156</f>
        <v/>
      </c>
      <c r="M156" s="4">
        <f>I156/F156</f>
        <v/>
      </c>
      <c r="N156" s="3" t="n">
        <v>249</v>
      </c>
      <c r="O156" s="3" t="n">
        <v>0</v>
      </c>
      <c r="P156" s="2">
        <f>IF(F156&lt;100,"종료 100마리 미만","")</f>
        <v/>
      </c>
    </row>
    <row r="157">
      <c r="A157" s="2">
        <f>RANK(K157,$K$2:$K$454)</f>
        <v/>
      </c>
      <c r="B157" s="2" t="inlineStr">
        <is>
          <t>서울특별시</t>
        </is>
      </c>
      <c r="C157" s="2" t="inlineStr">
        <is>
          <t>서울특별시 동대문구</t>
        </is>
      </c>
      <c r="D157" s="2" t="inlineStr">
        <is>
          <t>한국동물구조관리협회</t>
        </is>
      </c>
      <c r="E157" s="2" t="inlineStr">
        <is>
          <t>311305201300001</t>
        </is>
      </c>
      <c r="F157" s="3">
        <f>SUM(G157:J157)</f>
        <v/>
      </c>
      <c r="G157" s="3" t="n">
        <v>135</v>
      </c>
      <c r="H157" s="3" t="n">
        <v>44</v>
      </c>
      <c r="I157" s="3" t="n">
        <v>9</v>
      </c>
      <c r="J157" s="3" t="n">
        <v>47</v>
      </c>
      <c r="K157" s="4">
        <f>G157/F157</f>
        <v/>
      </c>
      <c r="L157" s="4">
        <f>H157/F157</f>
        <v/>
      </c>
      <c r="M157" s="4">
        <f>I157/F157</f>
        <v/>
      </c>
      <c r="N157" s="3" t="n">
        <v>153</v>
      </c>
      <c r="O157" s="3" t="n">
        <v>1</v>
      </c>
      <c r="P157" s="2">
        <f>IF(F157&lt;100,"종료 100마리 미만","")</f>
        <v/>
      </c>
    </row>
    <row r="158">
      <c r="A158" s="2">
        <f>RANK(K158,$K$2:$K$454)</f>
        <v/>
      </c>
      <c r="B158" s="2" t="inlineStr">
        <is>
          <t>경기도</t>
        </is>
      </c>
      <c r="C158" s="2" t="inlineStr">
        <is>
          <t>경기도 군포시</t>
        </is>
      </c>
      <c r="D158" s="2" t="inlineStr">
        <is>
          <t>군포시청</t>
        </is>
      </c>
      <c r="E158" s="2" t="inlineStr">
        <is>
          <t>341402201900002</t>
        </is>
      </c>
      <c r="F158" s="3">
        <f>SUM(G158:J158)</f>
        <v/>
      </c>
      <c r="G158" s="3" t="n">
        <v>8</v>
      </c>
      <c r="H158" s="3" t="n">
        <v>3</v>
      </c>
      <c r="I158" s="3" t="n">
        <v>1</v>
      </c>
      <c r="J158" s="3" t="n">
        <v>2</v>
      </c>
      <c r="K158" s="4">
        <f>G158/F158</f>
        <v/>
      </c>
      <c r="L158" s="4">
        <f>H158/F158</f>
        <v/>
      </c>
      <c r="M158" s="4">
        <f>I158/F158</f>
        <v/>
      </c>
      <c r="N158" s="3" t="n">
        <v>7</v>
      </c>
      <c r="O158" s="3" t="n">
        <v>0</v>
      </c>
      <c r="P158" s="2">
        <f>IF(F158&lt;100,"종료 100마리 미만","")</f>
        <v/>
      </c>
    </row>
    <row r="159">
      <c r="A159" s="2">
        <f>RANK(K159,$K$2:$K$454)</f>
        <v/>
      </c>
      <c r="B159" s="2" t="inlineStr">
        <is>
          <t>충청남도</t>
        </is>
      </c>
      <c r="C159" s="2" t="inlineStr">
        <is>
          <t>충청남도 홍성군</t>
        </is>
      </c>
      <c r="D159" s="2" t="inlineStr">
        <is>
          <t>금일동물보호센터</t>
        </is>
      </c>
      <c r="E159" s="2" t="inlineStr">
        <is>
          <t>344460201300001</t>
        </is>
      </c>
      <c r="F159" s="3">
        <f>SUM(G159:J159)</f>
        <v/>
      </c>
      <c r="G159" s="3" t="n">
        <v>1285</v>
      </c>
      <c r="H159" s="3" t="n">
        <v>16</v>
      </c>
      <c r="I159" s="3" t="n">
        <v>625</v>
      </c>
      <c r="J159" s="3" t="n">
        <v>337</v>
      </c>
      <c r="K159" s="4">
        <f>G159/F159</f>
        <v/>
      </c>
      <c r="L159" s="4">
        <f>H159/F159</f>
        <v/>
      </c>
      <c r="M159" s="4">
        <f>I159/F159</f>
        <v/>
      </c>
      <c r="N159" s="3" t="n">
        <v>176</v>
      </c>
      <c r="O159" s="3" t="n">
        <v>0</v>
      </c>
      <c r="P159" s="2">
        <f>IF(F159&lt;100,"종료 100마리 미만","")</f>
        <v/>
      </c>
    </row>
    <row r="160">
      <c r="A160" s="2">
        <f>RANK(K160,$K$2:$K$454)</f>
        <v/>
      </c>
      <c r="B160" s="2" t="inlineStr">
        <is>
          <t>경상남도</t>
        </is>
      </c>
      <c r="C160" s="2" t="inlineStr">
        <is>
          <t>경상남도 양산시</t>
        </is>
      </c>
      <c r="D160" s="2" t="inlineStr">
        <is>
          <t>양산시 동물보호센터</t>
        </is>
      </c>
      <c r="E160" s="2" t="inlineStr">
        <is>
          <t>348538200900001</t>
        </is>
      </c>
      <c r="F160" s="3">
        <f>SUM(G160:J160)</f>
        <v/>
      </c>
      <c r="G160" s="3" t="n">
        <v>754</v>
      </c>
      <c r="H160" s="3" t="n">
        <v>302</v>
      </c>
      <c r="I160" s="3" t="n">
        <v>227</v>
      </c>
      <c r="J160" s="3" t="n">
        <v>54</v>
      </c>
      <c r="K160" s="4">
        <f>G160/F160</f>
        <v/>
      </c>
      <c r="L160" s="4">
        <f>H160/F160</f>
        <v/>
      </c>
      <c r="M160" s="4">
        <f>I160/F160</f>
        <v/>
      </c>
      <c r="N160" s="3" t="n">
        <v>165</v>
      </c>
      <c r="O160" s="3" t="n">
        <v>72</v>
      </c>
      <c r="P160" s="2">
        <f>IF(F160&lt;100,"종료 100마리 미만","")</f>
        <v/>
      </c>
    </row>
    <row r="161">
      <c r="A161" s="2">
        <f>RANK(K161,$K$2:$K$454)</f>
        <v/>
      </c>
      <c r="B161" s="2" t="inlineStr">
        <is>
          <t>경기도</t>
        </is>
      </c>
      <c r="C161" s="2" t="inlineStr">
        <is>
          <t>경기도 파주시</t>
        </is>
      </c>
      <c r="D161" s="2" t="inlineStr">
        <is>
          <t>금릉동물병원</t>
        </is>
      </c>
      <c r="E161" s="2" t="inlineStr">
        <is>
          <t>341406201300011</t>
        </is>
      </c>
      <c r="F161" s="3">
        <f>SUM(G161:J161)</f>
        <v/>
      </c>
      <c r="G161" s="3" t="n">
        <v>14</v>
      </c>
      <c r="H161" s="3" t="n">
        <v>0</v>
      </c>
      <c r="I161" s="3" t="n">
        <v>0</v>
      </c>
      <c r="J161" s="3" t="n">
        <v>11</v>
      </c>
      <c r="K161" s="4">
        <f>G161/F161</f>
        <v/>
      </c>
      <c r="L161" s="4">
        <f>H161/F161</f>
        <v/>
      </c>
      <c r="M161" s="4">
        <f>I161/F161</f>
        <v/>
      </c>
      <c r="N161" s="3" t="n">
        <v>5</v>
      </c>
      <c r="O161" s="3" t="n">
        <v>0</v>
      </c>
      <c r="P161" s="2">
        <f>IF(F161&lt;100,"종료 100마리 미만","")</f>
        <v/>
      </c>
    </row>
    <row r="162">
      <c r="A162" s="2">
        <f>RANK(K162,$K$2:$K$454)</f>
        <v/>
      </c>
      <c r="B162" s="2" t="inlineStr">
        <is>
          <t>인천광역시</t>
        </is>
      </c>
      <c r="C162" s="2" t="inlineStr">
        <is>
          <t>인천광역시 영종구</t>
        </is>
      </c>
      <c r="D162" s="2" t="inlineStr">
        <is>
          <t>신공항동물병원</t>
        </is>
      </c>
      <c r="E162" s="2" t="inlineStr">
        <is>
          <t>328349201500001</t>
        </is>
      </c>
      <c r="F162" s="3">
        <f>SUM(G162:J162)</f>
        <v/>
      </c>
      <c r="G162" s="3" t="n">
        <v>462</v>
      </c>
      <c r="H162" s="3" t="n">
        <v>304</v>
      </c>
      <c r="I162" s="3" t="n">
        <v>51</v>
      </c>
      <c r="J162" s="3" t="n">
        <v>9</v>
      </c>
      <c r="K162" s="4">
        <f>G162/F162</f>
        <v/>
      </c>
      <c r="L162" s="4">
        <f>H162/F162</f>
        <v/>
      </c>
      <c r="M162" s="4">
        <f>I162/F162</f>
        <v/>
      </c>
      <c r="N162" s="3" t="n">
        <v>193</v>
      </c>
      <c r="O162" s="3" t="n">
        <v>0</v>
      </c>
      <c r="P162" s="2">
        <f>IF(F162&lt;100,"종료 100마리 미만","")</f>
        <v/>
      </c>
    </row>
    <row r="163">
      <c r="A163" s="2">
        <f>RANK(K163,$K$2:$K$454)</f>
        <v/>
      </c>
      <c r="B163" s="2" t="inlineStr">
        <is>
          <t>서울특별시</t>
        </is>
      </c>
      <c r="C163" s="2" t="inlineStr">
        <is>
          <t>서울특별시 영등포구</t>
        </is>
      </c>
      <c r="D163" s="2" t="inlineStr">
        <is>
          <t>한국동물구조관리협회</t>
        </is>
      </c>
      <c r="E163" s="2" t="inlineStr">
        <is>
          <t>311318201200001</t>
        </is>
      </c>
      <c r="F163" s="3">
        <f>SUM(G163:J163)</f>
        <v/>
      </c>
      <c r="G163" s="3" t="n">
        <v>87</v>
      </c>
      <c r="H163" s="3" t="n">
        <v>39</v>
      </c>
      <c r="I163" s="3" t="n">
        <v>11</v>
      </c>
      <c r="J163" s="3" t="n">
        <v>19</v>
      </c>
      <c r="K163" s="4">
        <f>G163/F163</f>
        <v/>
      </c>
      <c r="L163" s="4">
        <f>H163/F163</f>
        <v/>
      </c>
      <c r="M163" s="4">
        <f>I163/F163</f>
        <v/>
      </c>
      <c r="N163" s="3" t="n">
        <v>175</v>
      </c>
      <c r="O163" s="3" t="n">
        <v>0</v>
      </c>
      <c r="P163" s="2">
        <f>IF(F163&lt;100,"종료 100마리 미만","")</f>
        <v/>
      </c>
    </row>
    <row r="164">
      <c r="A164" s="2">
        <f>RANK(K164,$K$2:$K$454)</f>
        <v/>
      </c>
      <c r="B164" s="2" t="inlineStr">
        <is>
          <t>서울특별시</t>
        </is>
      </c>
      <c r="C164" s="2" t="inlineStr">
        <is>
          <t>서울특별시 구로구</t>
        </is>
      </c>
      <c r="D164" s="2" t="inlineStr">
        <is>
          <t>한국동물구조관리협회</t>
        </is>
      </c>
      <c r="E164" s="2" t="inlineStr">
        <is>
          <t>311316201100001</t>
        </is>
      </c>
      <c r="F164" s="3">
        <f>SUM(G164:J164)</f>
        <v/>
      </c>
      <c r="G164" s="3" t="n">
        <v>131</v>
      </c>
      <c r="H164" s="3" t="n">
        <v>68</v>
      </c>
      <c r="I164" s="3" t="n">
        <v>24</v>
      </c>
      <c r="J164" s="3" t="n">
        <v>12</v>
      </c>
      <c r="K164" s="4">
        <f>G164/F164</f>
        <v/>
      </c>
      <c r="L164" s="4">
        <f>H164/F164</f>
        <v/>
      </c>
      <c r="M164" s="4">
        <f>I164/F164</f>
        <v/>
      </c>
      <c r="N164" s="3" t="n">
        <v>216</v>
      </c>
      <c r="O164" s="3" t="n">
        <v>0</v>
      </c>
      <c r="P164" s="2">
        <f>IF(F164&lt;100,"종료 100마리 미만","")</f>
        <v/>
      </c>
    </row>
    <row r="165">
      <c r="A165" s="2">
        <f>RANK(K165,$K$2:$K$454)</f>
        <v/>
      </c>
      <c r="B165" s="2" t="inlineStr">
        <is>
          <t>서울특별시</t>
        </is>
      </c>
      <c r="C165" s="2" t="inlineStr">
        <is>
          <t>서울특별시 도봉구</t>
        </is>
      </c>
      <c r="D165" s="2" t="inlineStr">
        <is>
          <t>한국동물구조관리협회</t>
        </is>
      </c>
      <c r="E165" s="2" t="inlineStr">
        <is>
          <t>311309200900001</t>
        </is>
      </c>
      <c r="F165" s="3">
        <f>SUM(G165:J165)</f>
        <v/>
      </c>
      <c r="G165" s="3" t="n">
        <v>122</v>
      </c>
      <c r="H165" s="3" t="n">
        <v>62</v>
      </c>
      <c r="I165" s="3" t="n">
        <v>26</v>
      </c>
      <c r="J165" s="3" t="n">
        <v>9</v>
      </c>
      <c r="K165" s="4">
        <f>G165/F165</f>
        <v/>
      </c>
      <c r="L165" s="4">
        <f>H165/F165</f>
        <v/>
      </c>
      <c r="M165" s="4">
        <f>I165/F165</f>
        <v/>
      </c>
      <c r="N165" s="3" t="n">
        <v>215</v>
      </c>
      <c r="O165" s="3" t="n">
        <v>0</v>
      </c>
      <c r="P165" s="2">
        <f>IF(F165&lt;100,"종료 100마리 미만","")</f>
        <v/>
      </c>
    </row>
    <row r="166">
      <c r="A166" s="2">
        <f>RANK(K166,$K$2:$K$454)</f>
        <v/>
      </c>
      <c r="B166" s="2" t="inlineStr">
        <is>
          <t>부산광역시</t>
        </is>
      </c>
      <c r="C166" s="2" t="inlineStr">
        <is>
          <t>부산광역시 동구</t>
        </is>
      </c>
      <c r="D166" s="2" t="inlineStr">
        <is>
          <t>동구종합동물병원</t>
        </is>
      </c>
      <c r="E166" s="2" t="inlineStr">
        <is>
          <t>326327202400001</t>
        </is>
      </c>
      <c r="F166" s="3">
        <f>SUM(G166:J166)</f>
        <v/>
      </c>
      <c r="G166" s="3" t="n">
        <v>21</v>
      </c>
      <c r="H166" s="3" t="n">
        <v>9</v>
      </c>
      <c r="I166" s="3" t="n">
        <v>6</v>
      </c>
      <c r="J166" s="3" t="n">
        <v>2</v>
      </c>
      <c r="K166" s="4">
        <f>G166/F166</f>
        <v/>
      </c>
      <c r="L166" s="4">
        <f>H166/F166</f>
        <v/>
      </c>
      <c r="M166" s="4">
        <f>I166/F166</f>
        <v/>
      </c>
      <c r="N166" s="3" t="n">
        <v>24</v>
      </c>
      <c r="O166" s="3" t="n">
        <v>0</v>
      </c>
      <c r="P166" s="2">
        <f>IF(F166&lt;100,"종료 100마리 미만","")</f>
        <v/>
      </c>
    </row>
    <row r="167">
      <c r="A167" s="2">
        <f>RANK(K167,$K$2:$K$454)</f>
        <v/>
      </c>
      <c r="B167" s="2" t="inlineStr">
        <is>
          <t>부산광역시</t>
        </is>
      </c>
      <c r="C167" s="2" t="inlineStr">
        <is>
          <t>부산광역시 사상구</t>
        </is>
      </c>
      <c r="D167" s="2" t="inlineStr">
        <is>
          <t>(사)하얀비둘기</t>
        </is>
      </c>
      <c r="E167" s="2" t="inlineStr">
        <is>
          <t>326339201300001</t>
        </is>
      </c>
      <c r="F167" s="3">
        <f>SUM(G167:J167)</f>
        <v/>
      </c>
      <c r="G167" s="3" t="n">
        <v>211</v>
      </c>
      <c r="H167" s="3" t="n">
        <v>9</v>
      </c>
      <c r="I167" s="3" t="n">
        <v>127</v>
      </c>
      <c r="J167" s="3" t="n">
        <v>35</v>
      </c>
      <c r="K167" s="4">
        <f>G167/F167</f>
        <v/>
      </c>
      <c r="L167" s="4">
        <f>H167/F167</f>
        <v/>
      </c>
      <c r="M167" s="4">
        <f>I167/F167</f>
        <v/>
      </c>
      <c r="N167" s="3" t="n">
        <v>181</v>
      </c>
      <c r="O167" s="3" t="n">
        <v>21</v>
      </c>
      <c r="P167" s="2">
        <f>IF(F167&lt;100,"종료 100마리 미만","")</f>
        <v/>
      </c>
    </row>
    <row r="168">
      <c r="A168" s="2">
        <f>RANK(K168,$K$2:$K$454)</f>
        <v/>
      </c>
      <c r="B168" s="2" t="inlineStr">
        <is>
          <t>부산광역시</t>
        </is>
      </c>
      <c r="C168" s="2" t="inlineStr">
        <is>
          <t>부산광역시 강서구</t>
        </is>
      </c>
      <c r="D168" s="2" t="inlineStr">
        <is>
          <t>부산동물보호센터</t>
        </is>
      </c>
      <c r="E168" s="2" t="inlineStr">
        <is>
          <t>326336201600001</t>
        </is>
      </c>
      <c r="F168" s="3">
        <f>SUM(G168:J168)</f>
        <v/>
      </c>
      <c r="G168" s="3" t="n">
        <v>241</v>
      </c>
      <c r="H168" s="3" t="n">
        <v>3</v>
      </c>
      <c r="I168" s="3" t="n">
        <v>193</v>
      </c>
      <c r="J168" s="3" t="n">
        <v>0</v>
      </c>
      <c r="K168" s="4">
        <f>G168/F168</f>
        <v/>
      </c>
      <c r="L168" s="4">
        <f>H168/F168</f>
        <v/>
      </c>
      <c r="M168" s="4">
        <f>I168/F168</f>
        <v/>
      </c>
      <c r="N168" s="3" t="n">
        <v>34</v>
      </c>
      <c r="O168" s="3" t="n">
        <v>1</v>
      </c>
      <c r="P168" s="2">
        <f>IF(F168&lt;100,"종료 100마리 미만","")</f>
        <v/>
      </c>
    </row>
    <row r="169">
      <c r="A169" s="2">
        <f>RANK(K169,$K$2:$K$454)</f>
        <v/>
      </c>
      <c r="B169" s="2" t="inlineStr">
        <is>
          <t>서울특별시</t>
        </is>
      </c>
      <c r="C169" s="2" t="inlineStr">
        <is>
          <t>서울특별시 관악구</t>
        </is>
      </c>
      <c r="D169" s="2" t="inlineStr">
        <is>
          <t>디아크 동물종합병원</t>
        </is>
      </c>
      <c r="E169" s="2" t="inlineStr">
        <is>
          <t>311320202400001</t>
        </is>
      </c>
      <c r="F169" s="3">
        <f>SUM(G169:J169)</f>
        <v/>
      </c>
      <c r="G169" s="3" t="n">
        <v>70</v>
      </c>
      <c r="H169" s="3" t="n">
        <v>37</v>
      </c>
      <c r="I169" s="3" t="n">
        <v>19</v>
      </c>
      <c r="J169" s="3" t="n">
        <v>1</v>
      </c>
      <c r="K169" s="4">
        <f>G169/F169</f>
        <v/>
      </c>
      <c r="L169" s="4">
        <f>H169/F169</f>
        <v/>
      </c>
      <c r="M169" s="4">
        <f>I169/F169</f>
        <v/>
      </c>
      <c r="N169" s="3" t="n">
        <v>64</v>
      </c>
      <c r="O169" s="3" t="n">
        <v>0</v>
      </c>
      <c r="P169" s="2">
        <f>IF(F169&lt;100,"종료 100마리 미만","")</f>
        <v/>
      </c>
    </row>
    <row r="170">
      <c r="A170" s="2">
        <f>RANK(K170,$K$2:$K$454)</f>
        <v/>
      </c>
      <c r="B170" s="2" t="inlineStr">
        <is>
          <t>경상북도</t>
        </is>
      </c>
      <c r="C170" s="2" t="inlineStr">
        <is>
          <t>경상북도 문경시</t>
        </is>
      </c>
      <c r="D170" s="2" t="inlineStr">
        <is>
          <t>종합축산</t>
        </is>
      </c>
      <c r="E170" s="2" t="inlineStr">
        <is>
          <t>347512201700001</t>
        </is>
      </c>
      <c r="F170" s="3">
        <f>SUM(G170:J170)</f>
        <v/>
      </c>
      <c r="G170" s="3" t="n">
        <v>754</v>
      </c>
      <c r="H170" s="3" t="n">
        <v>356</v>
      </c>
      <c r="I170" s="3" t="n">
        <v>258</v>
      </c>
      <c r="J170" s="3" t="n">
        <v>1</v>
      </c>
      <c r="K170" s="4">
        <f>G170/F170</f>
        <v/>
      </c>
      <c r="L170" s="4">
        <f>H170/F170</f>
        <v/>
      </c>
      <c r="M170" s="4">
        <f>I170/F170</f>
        <v/>
      </c>
      <c r="N170" s="3" t="n">
        <v>208</v>
      </c>
      <c r="O170" s="3" t="n">
        <v>2</v>
      </c>
      <c r="P170" s="2">
        <f>IF(F170&lt;100,"종료 100마리 미만","")</f>
        <v/>
      </c>
    </row>
    <row r="171">
      <c r="A171" s="2">
        <f>RANK(K171,$K$2:$K$454)</f>
        <v/>
      </c>
      <c r="B171" s="2" t="inlineStr">
        <is>
          <t>경기도</t>
        </is>
      </c>
      <c r="C171" s="2" t="inlineStr">
        <is>
          <t>경기도 성남시</t>
        </is>
      </c>
      <c r="D171" s="2" t="inlineStr">
        <is>
          <t>펫앤쉘터동물병원</t>
        </is>
      </c>
      <c r="E171" s="2" t="inlineStr">
        <is>
          <t>341378201300002</t>
        </is>
      </c>
      <c r="F171" s="3">
        <f>SUM(G171:J171)</f>
        <v/>
      </c>
      <c r="G171" s="3" t="n">
        <v>676</v>
      </c>
      <c r="H171" s="3" t="n">
        <v>4</v>
      </c>
      <c r="I171" s="3" t="n">
        <v>30</v>
      </c>
      <c r="J171" s="3" t="n">
        <v>518</v>
      </c>
      <c r="K171" s="4">
        <f>G171/F171</f>
        <v/>
      </c>
      <c r="L171" s="4">
        <f>H171/F171</f>
        <v/>
      </c>
      <c r="M171" s="4">
        <f>I171/F171</f>
        <v/>
      </c>
      <c r="N171" s="3" t="n">
        <v>1079</v>
      </c>
      <c r="O171" s="3" t="n">
        <v>0</v>
      </c>
      <c r="P171" s="2">
        <f>IF(F171&lt;100,"종료 100마리 미만","")</f>
        <v/>
      </c>
    </row>
    <row r="172">
      <c r="A172" s="2">
        <f>RANK(K172,$K$2:$K$454)</f>
        <v/>
      </c>
      <c r="B172" s="2" t="inlineStr">
        <is>
          <t>서울특별시</t>
        </is>
      </c>
      <c r="C172" s="2" t="inlineStr">
        <is>
          <t>서울특별시 동대문구</t>
        </is>
      </c>
      <c r="D172" s="2" t="inlineStr">
        <is>
          <t>동대문구청</t>
        </is>
      </c>
      <c r="E172" s="2" t="inlineStr">
        <is>
          <t>311305202100001</t>
        </is>
      </c>
      <c r="F172" s="3">
        <f>SUM(G172:J172)</f>
        <v/>
      </c>
      <c r="G172" s="3" t="n">
        <v>17</v>
      </c>
      <c r="H172" s="3" t="n">
        <v>0</v>
      </c>
      <c r="I172" s="3" t="n">
        <v>1</v>
      </c>
      <c r="J172" s="3" t="n">
        <v>13</v>
      </c>
      <c r="K172" s="4">
        <f>G172/F172</f>
        <v/>
      </c>
      <c r="L172" s="4">
        <f>H172/F172</f>
        <v/>
      </c>
      <c r="M172" s="4">
        <f>I172/F172</f>
        <v/>
      </c>
      <c r="N172" s="3" t="n">
        <v>10</v>
      </c>
      <c r="O172" s="3" t="n">
        <v>22</v>
      </c>
      <c r="P172" s="2">
        <f>IF(F172&lt;100,"종료 100마리 미만","")</f>
        <v/>
      </c>
    </row>
    <row r="173">
      <c r="A173" s="2">
        <f>RANK(K173,$K$2:$K$454)</f>
        <v/>
      </c>
      <c r="B173" s="2" t="inlineStr">
        <is>
          <t>강원특별자치도</t>
        </is>
      </c>
      <c r="C173" s="2" t="inlineStr">
        <is>
          <t>강원특별자치도 인제군</t>
        </is>
      </c>
      <c r="D173" s="2" t="inlineStr">
        <is>
          <t>인제군동물보호센터</t>
        </is>
      </c>
      <c r="E173" s="2" t="inlineStr">
        <is>
          <t>342433201300001</t>
        </is>
      </c>
      <c r="F173" s="3">
        <f>SUM(G173:J173)</f>
        <v/>
      </c>
      <c r="G173" s="3" t="n">
        <v>264</v>
      </c>
      <c r="H173" s="3" t="n">
        <v>170</v>
      </c>
      <c r="I173" s="3" t="n">
        <v>47</v>
      </c>
      <c r="J173" s="3" t="n">
        <v>1</v>
      </c>
      <c r="K173" s="4">
        <f>G173/F173</f>
        <v/>
      </c>
      <c r="L173" s="4">
        <f>H173/F173</f>
        <v/>
      </c>
      <c r="M173" s="4">
        <f>I173/F173</f>
        <v/>
      </c>
      <c r="N173" s="3" t="n">
        <v>80</v>
      </c>
      <c r="O173" s="3" t="n">
        <v>14</v>
      </c>
      <c r="P173" s="2">
        <f>IF(F173&lt;100,"종료 100마리 미만","")</f>
        <v/>
      </c>
    </row>
    <row r="174">
      <c r="A174" s="2">
        <f>RANK(K174,$K$2:$K$454)</f>
        <v/>
      </c>
      <c r="B174" s="2" t="inlineStr">
        <is>
          <t>전북특별자치도</t>
        </is>
      </c>
      <c r="C174" s="2" t="inlineStr">
        <is>
          <t>전북특별자치도 익산시</t>
        </is>
      </c>
      <c r="D174" s="2" t="inlineStr">
        <is>
          <t>익산유기동물보호소</t>
        </is>
      </c>
      <c r="E174" s="2" t="inlineStr">
        <is>
          <t>345468201200001</t>
        </is>
      </c>
      <c r="F174" s="3">
        <f>SUM(G174:J174)</f>
        <v/>
      </c>
      <c r="G174" s="3" t="n">
        <v>2848</v>
      </c>
      <c r="H174" s="3" t="n">
        <v>820</v>
      </c>
      <c r="I174" s="3" t="n">
        <v>1261</v>
      </c>
      <c r="J174" s="3" t="n">
        <v>271</v>
      </c>
      <c r="K174" s="4">
        <f>G174/F174</f>
        <v/>
      </c>
      <c r="L174" s="4">
        <f>H174/F174</f>
        <v/>
      </c>
      <c r="M174" s="4">
        <f>I174/F174</f>
        <v/>
      </c>
      <c r="N174" s="3" t="n">
        <v>579</v>
      </c>
      <c r="O174" s="3" t="n">
        <v>62</v>
      </c>
      <c r="P174" s="2">
        <f>IF(F174&lt;100,"종료 100마리 미만","")</f>
        <v/>
      </c>
    </row>
    <row r="175">
      <c r="A175" s="2">
        <f>RANK(K175,$K$2:$K$454)</f>
        <v/>
      </c>
      <c r="B175" s="2" t="inlineStr">
        <is>
          <t>전북특별자치도</t>
        </is>
      </c>
      <c r="C175" s="2" t="inlineStr">
        <is>
          <t>전북특별자치도 임실군</t>
        </is>
      </c>
      <c r="D175" s="2" t="inlineStr">
        <is>
          <t>박영재동물병원</t>
        </is>
      </c>
      <c r="E175" s="2" t="inlineStr">
        <is>
          <t>345476202000002</t>
        </is>
      </c>
      <c r="F175" s="3">
        <f>SUM(G175:J175)</f>
        <v/>
      </c>
      <c r="G175" s="3" t="n">
        <v>89</v>
      </c>
      <c r="H175" s="3" t="n">
        <v>15</v>
      </c>
      <c r="I175" s="3" t="n">
        <v>59</v>
      </c>
      <c r="J175" s="3" t="n">
        <v>0</v>
      </c>
      <c r="K175" s="4">
        <f>G175/F175</f>
        <v/>
      </c>
      <c r="L175" s="4">
        <f>H175/F175</f>
        <v/>
      </c>
      <c r="M175" s="4">
        <f>I175/F175</f>
        <v/>
      </c>
      <c r="N175" s="3" t="n">
        <v>5</v>
      </c>
      <c r="O175" s="3" t="n">
        <v>0</v>
      </c>
      <c r="P175" s="2">
        <f>IF(F175&lt;100,"종료 100마리 미만","")</f>
        <v/>
      </c>
    </row>
    <row r="176">
      <c r="A176" s="2">
        <f>RANK(K176,$K$2:$K$454)</f>
        <v/>
      </c>
      <c r="B176" s="2" t="inlineStr">
        <is>
          <t>충청북도</t>
        </is>
      </c>
      <c r="C176" s="2" t="inlineStr">
        <is>
          <t>충청북도 진천군</t>
        </is>
      </c>
      <c r="D176" s="2" t="inlineStr">
        <is>
          <t>진천군유기동물보호소</t>
        </is>
      </c>
      <c r="E176" s="2" t="inlineStr">
        <is>
          <t>343445200900001</t>
        </is>
      </c>
      <c r="F176" s="3">
        <f>SUM(G176:J176)</f>
        <v/>
      </c>
      <c r="G176" s="3" t="n">
        <v>110</v>
      </c>
      <c r="H176" s="3" t="n">
        <v>70</v>
      </c>
      <c r="I176" s="3" t="n">
        <v>23</v>
      </c>
      <c r="J176" s="3" t="n">
        <v>0</v>
      </c>
      <c r="K176" s="4">
        <f>G176/F176</f>
        <v/>
      </c>
      <c r="L176" s="4">
        <f>H176/F176</f>
        <v/>
      </c>
      <c r="M176" s="4">
        <f>I176/F176</f>
        <v/>
      </c>
      <c r="N176" s="3" t="n">
        <v>56</v>
      </c>
      <c r="O176" s="3" t="n">
        <v>0</v>
      </c>
      <c r="P176" s="2">
        <f>IF(F176&lt;100,"종료 100마리 미만","")</f>
        <v/>
      </c>
    </row>
    <row r="177">
      <c r="A177" s="2">
        <f>RANK(K177,$K$2:$K$454)</f>
        <v/>
      </c>
      <c r="B177" s="2" t="inlineStr">
        <is>
          <t>서울특별시</t>
        </is>
      </c>
      <c r="C177" s="2" t="inlineStr">
        <is>
          <t>서울특별시 송파구</t>
        </is>
      </c>
      <c r="D177" s="2" t="inlineStr">
        <is>
          <t>한국동물구조관리협회</t>
        </is>
      </c>
      <c r="E177" s="2" t="inlineStr">
        <is>
          <t>311323201100001</t>
        </is>
      </c>
      <c r="F177" s="3">
        <f>SUM(G177:J177)</f>
        <v/>
      </c>
      <c r="G177" s="3" t="n">
        <v>124</v>
      </c>
      <c r="H177" s="3" t="n">
        <v>65</v>
      </c>
      <c r="I177" s="3" t="n">
        <v>27</v>
      </c>
      <c r="J177" s="3" t="n">
        <v>13</v>
      </c>
      <c r="K177" s="4">
        <f>G177/F177</f>
        <v/>
      </c>
      <c r="L177" s="4">
        <f>H177/F177</f>
        <v/>
      </c>
      <c r="M177" s="4">
        <f>I177/F177</f>
        <v/>
      </c>
      <c r="N177" s="3" t="n">
        <v>181</v>
      </c>
      <c r="O177" s="3" t="n">
        <v>0</v>
      </c>
      <c r="P177" s="2">
        <f>IF(F177&lt;100,"종료 100마리 미만","")</f>
        <v/>
      </c>
    </row>
    <row r="178">
      <c r="A178" s="2">
        <f>RANK(K178,$K$2:$K$454)</f>
        <v/>
      </c>
      <c r="B178" s="2" t="inlineStr">
        <is>
          <t>대구광역시</t>
        </is>
      </c>
      <c r="C178" s="2" t="inlineStr">
        <is>
          <t>대구광역시 서구</t>
        </is>
      </c>
      <c r="D178" s="2" t="inlineStr">
        <is>
          <t>대구시수의사회(더펫)</t>
        </is>
      </c>
      <c r="E178" s="2" t="inlineStr">
        <is>
          <t>327343201900001</t>
        </is>
      </c>
      <c r="F178" s="3">
        <f>SUM(G178:J178)</f>
        <v/>
      </c>
      <c r="G178" s="3" t="n">
        <v>66</v>
      </c>
      <c r="H178" s="3" t="n">
        <v>49</v>
      </c>
      <c r="I178" s="3" t="n">
        <v>7</v>
      </c>
      <c r="J178" s="3" t="n">
        <v>0</v>
      </c>
      <c r="K178" s="4">
        <f>G178/F178</f>
        <v/>
      </c>
      <c r="L178" s="4">
        <f>H178/F178</f>
        <v/>
      </c>
      <c r="M178" s="4">
        <f>I178/F178</f>
        <v/>
      </c>
      <c r="N178" s="3" t="n">
        <v>62</v>
      </c>
      <c r="O178" s="3" t="n">
        <v>0</v>
      </c>
      <c r="P178" s="2">
        <f>IF(F178&lt;100,"종료 100마리 미만","")</f>
        <v/>
      </c>
    </row>
    <row r="179">
      <c r="A179" s="2">
        <f>RANK(K179,$K$2:$K$454)</f>
        <v/>
      </c>
      <c r="B179" s="2" t="inlineStr">
        <is>
          <t>충청북도</t>
        </is>
      </c>
      <c r="C179" s="2" t="inlineStr">
        <is>
          <t>충청북도 증평군</t>
        </is>
      </c>
      <c r="D179" s="2" t="inlineStr">
        <is>
          <t>증평가정견훈련소</t>
        </is>
      </c>
      <c r="E179" s="2" t="inlineStr">
        <is>
          <t>343557201700001</t>
        </is>
      </c>
      <c r="F179" s="3">
        <f>SUM(G179:J179)</f>
        <v/>
      </c>
      <c r="G179" s="3" t="n">
        <v>75</v>
      </c>
      <c r="H179" s="3" t="n">
        <v>46</v>
      </c>
      <c r="I179" s="3" t="n">
        <v>19</v>
      </c>
      <c r="J179" s="3" t="n">
        <v>0</v>
      </c>
      <c r="K179" s="4">
        <f>G179/F179</f>
        <v/>
      </c>
      <c r="L179" s="4">
        <f>H179/F179</f>
        <v/>
      </c>
      <c r="M179" s="4">
        <f>I179/F179</f>
        <v/>
      </c>
      <c r="N179" s="3" t="n">
        <v>34</v>
      </c>
      <c r="O179" s="3" t="n">
        <v>33</v>
      </c>
      <c r="P179" s="2">
        <f>IF(F179&lt;100,"종료 100마리 미만","")</f>
        <v/>
      </c>
    </row>
    <row r="180">
      <c r="A180" s="2">
        <f>RANK(K180,$K$2:$K$454)</f>
        <v/>
      </c>
      <c r="B180" s="2" t="inlineStr">
        <is>
          <t>전북특별자치도</t>
        </is>
      </c>
      <c r="C180" s="2" t="inlineStr">
        <is>
          <t>전북특별자치도 순창군</t>
        </is>
      </c>
      <c r="D180" s="2" t="inlineStr">
        <is>
          <t>순창유기동물보호소</t>
        </is>
      </c>
      <c r="E180" s="2" t="inlineStr">
        <is>
          <t>345477202000001</t>
        </is>
      </c>
      <c r="F180" s="3">
        <f>SUM(G180:J180)</f>
        <v/>
      </c>
      <c r="G180" s="3" t="n">
        <v>99</v>
      </c>
      <c r="H180" s="3" t="n">
        <v>0</v>
      </c>
      <c r="I180" s="3" t="n">
        <v>73</v>
      </c>
      <c r="J180" s="3" t="n">
        <v>13</v>
      </c>
      <c r="K180" s="4">
        <f>G180/F180</f>
        <v/>
      </c>
      <c r="L180" s="4">
        <f>H180/F180</f>
        <v/>
      </c>
      <c r="M180" s="4">
        <f>I180/F180</f>
        <v/>
      </c>
      <c r="N180" s="3" t="n">
        <v>22</v>
      </c>
      <c r="O180" s="3" t="n">
        <v>34</v>
      </c>
      <c r="P180" s="2">
        <f>IF(F180&lt;100,"종료 100마리 미만","")</f>
        <v/>
      </c>
    </row>
    <row r="181">
      <c r="A181" s="2">
        <f>RANK(K181,$K$2:$K$454)</f>
        <v/>
      </c>
      <c r="B181" s="2" t="inlineStr">
        <is>
          <t>경상남도</t>
        </is>
      </c>
      <c r="C181" s="2" t="inlineStr">
        <is>
          <t>경상남도 사천시</t>
        </is>
      </c>
      <c r="D181" s="2" t="inlineStr">
        <is>
          <t>사천시 동물보호센터</t>
        </is>
      </c>
      <c r="E181" s="2" t="inlineStr">
        <is>
          <t>348534202000001</t>
        </is>
      </c>
      <c r="F181" s="3">
        <f>SUM(G181:J181)</f>
        <v/>
      </c>
      <c r="G181" s="3" t="n">
        <v>1116</v>
      </c>
      <c r="H181" s="3" t="n">
        <v>619</v>
      </c>
      <c r="I181" s="3" t="n">
        <v>205</v>
      </c>
      <c r="J181" s="3" t="n">
        <v>152</v>
      </c>
      <c r="K181" s="4">
        <f>G181/F181</f>
        <v/>
      </c>
      <c r="L181" s="4">
        <f>H181/F181</f>
        <v/>
      </c>
      <c r="M181" s="4">
        <f>I181/F181</f>
        <v/>
      </c>
      <c r="N181" s="3" t="n">
        <v>101</v>
      </c>
      <c r="O181" s="3" t="n">
        <v>0</v>
      </c>
      <c r="P181" s="2">
        <f>IF(F181&lt;100,"종료 100마리 미만","")</f>
        <v/>
      </c>
    </row>
    <row r="182">
      <c r="A182" s="2">
        <f>RANK(K182,$K$2:$K$454)</f>
        <v/>
      </c>
      <c r="B182" s="2" t="inlineStr">
        <is>
          <t>충청북도</t>
        </is>
      </c>
      <c r="C182" s="2" t="inlineStr">
        <is>
          <t>충청북도 충주시</t>
        </is>
      </c>
      <c r="D182" s="2" t="inlineStr">
        <is>
          <t>충주시동물보호센터</t>
        </is>
      </c>
      <c r="E182" s="2" t="inlineStr">
        <is>
          <t>343439201700001</t>
        </is>
      </c>
      <c r="F182" s="3">
        <f>SUM(G182:J182)</f>
        <v/>
      </c>
      <c r="G182" s="3" t="n">
        <v>750</v>
      </c>
      <c r="H182" s="3" t="n">
        <v>599</v>
      </c>
      <c r="I182" s="3" t="n">
        <v>25</v>
      </c>
      <c r="J182" s="3" t="n">
        <v>34</v>
      </c>
      <c r="K182" s="4">
        <f>G182/F182</f>
        <v/>
      </c>
      <c r="L182" s="4">
        <f>H182/F182</f>
        <v/>
      </c>
      <c r="M182" s="4">
        <f>I182/F182</f>
        <v/>
      </c>
      <c r="N182" s="3" t="n">
        <v>388</v>
      </c>
      <c r="O182" s="3" t="n">
        <v>2</v>
      </c>
      <c r="P182" s="2">
        <f>IF(F182&lt;100,"종료 100마리 미만","")</f>
        <v/>
      </c>
    </row>
    <row r="183">
      <c r="A183" s="2">
        <f>RANK(K183,$K$2:$K$454)</f>
        <v/>
      </c>
      <c r="B183" s="2" t="inlineStr">
        <is>
          <t>전북특별자치도</t>
        </is>
      </c>
      <c r="C183" s="2" t="inlineStr">
        <is>
          <t>전북특별자치도 전주시</t>
        </is>
      </c>
      <c r="D183" s="2" t="inlineStr">
        <is>
          <t>효자동물병원</t>
        </is>
      </c>
      <c r="E183" s="2" t="inlineStr">
        <is>
          <t>345464202200001</t>
        </is>
      </c>
      <c r="F183" s="3">
        <f>SUM(G183:J183)</f>
        <v/>
      </c>
      <c r="G183" s="3" t="n">
        <v>169</v>
      </c>
      <c r="H183" s="3" t="n">
        <v>63</v>
      </c>
      <c r="I183" s="3" t="n">
        <v>49</v>
      </c>
      <c r="J183" s="3" t="n">
        <v>37</v>
      </c>
      <c r="K183" s="4">
        <f>G183/F183</f>
        <v/>
      </c>
      <c r="L183" s="4">
        <f>H183/F183</f>
        <v/>
      </c>
      <c r="M183" s="4">
        <f>I183/F183</f>
        <v/>
      </c>
      <c r="N183" s="3" t="n">
        <v>34</v>
      </c>
      <c r="O183" s="3" t="n">
        <v>0</v>
      </c>
      <c r="P183" s="2">
        <f>IF(F183&lt;100,"종료 100마리 미만","")</f>
        <v/>
      </c>
    </row>
    <row r="184">
      <c r="A184" s="2">
        <f>RANK(K184,$K$2:$K$454)</f>
        <v/>
      </c>
      <c r="B184" s="2" t="inlineStr">
        <is>
          <t>부산광역시</t>
        </is>
      </c>
      <c r="C184" s="2" t="inlineStr">
        <is>
          <t>부산광역시 해운대구</t>
        </is>
      </c>
      <c r="D184" s="2" t="inlineStr">
        <is>
          <t>동부유기동물보호협회</t>
        </is>
      </c>
      <c r="E184" s="2" t="inlineStr">
        <is>
          <t>326333201100001</t>
        </is>
      </c>
      <c r="F184" s="3">
        <f>SUM(G184:J184)</f>
        <v/>
      </c>
      <c r="G184" s="3" t="n">
        <v>296</v>
      </c>
      <c r="H184" s="3" t="n">
        <v>26</v>
      </c>
      <c r="I184" s="3" t="n">
        <v>235</v>
      </c>
      <c r="J184" s="3" t="n">
        <v>1</v>
      </c>
      <c r="K184" s="4">
        <f>G184/F184</f>
        <v/>
      </c>
      <c r="L184" s="4">
        <f>H184/F184</f>
        <v/>
      </c>
      <c r="M184" s="4">
        <f>I184/F184</f>
        <v/>
      </c>
      <c r="N184" s="3" t="n">
        <v>327</v>
      </c>
      <c r="O184" s="3" t="n">
        <v>3</v>
      </c>
      <c r="P184" s="2">
        <f>IF(F184&lt;100,"종료 100마리 미만","")</f>
        <v/>
      </c>
    </row>
    <row r="185">
      <c r="A185" s="2">
        <f>RANK(K185,$K$2:$K$454)</f>
        <v/>
      </c>
      <c r="B185" s="2" t="inlineStr">
        <is>
          <t>서울특별시</t>
        </is>
      </c>
      <c r="C185" s="2" t="inlineStr">
        <is>
          <t>서울특별시 성동구</t>
        </is>
      </c>
      <c r="D185" s="2" t="inlineStr">
        <is>
          <t>한국동물구조관리협회</t>
        </is>
      </c>
      <c r="E185" s="2" t="inlineStr">
        <is>
          <t>311303200900001</t>
        </is>
      </c>
      <c r="F185" s="3">
        <f>SUM(G185:J185)</f>
        <v/>
      </c>
      <c r="G185" s="3" t="n">
        <v>79</v>
      </c>
      <c r="H185" s="3" t="n">
        <v>45</v>
      </c>
      <c r="I185" s="3" t="n">
        <v>7</v>
      </c>
      <c r="J185" s="3" t="n">
        <v>18</v>
      </c>
      <c r="K185" s="4">
        <f>G185/F185</f>
        <v/>
      </c>
      <c r="L185" s="4">
        <f>H185/F185</f>
        <v/>
      </c>
      <c r="M185" s="4">
        <f>I185/F185</f>
        <v/>
      </c>
      <c r="N185" s="3" t="n">
        <v>107</v>
      </c>
      <c r="O185" s="3" t="n">
        <v>0</v>
      </c>
      <c r="P185" s="2">
        <f>IF(F185&lt;100,"종료 100마리 미만","")</f>
        <v/>
      </c>
    </row>
    <row r="186">
      <c r="A186" s="2">
        <f>RANK(K186,$K$2:$K$454)</f>
        <v/>
      </c>
      <c r="B186" s="2" t="inlineStr">
        <is>
          <t>전북특별자치도</t>
        </is>
      </c>
      <c r="C186" s="2" t="inlineStr">
        <is>
          <t>전북특별자치도 전주시</t>
        </is>
      </c>
      <c r="D186" s="2" t="inlineStr">
        <is>
          <t>아프리카동물병원</t>
        </is>
      </c>
      <c r="E186" s="2" t="inlineStr">
        <is>
          <t>345464201100011</t>
        </is>
      </c>
      <c r="F186" s="3">
        <f>SUM(G186:J186)</f>
        <v/>
      </c>
      <c r="G186" s="3" t="n">
        <v>10</v>
      </c>
      <c r="H186" s="3" t="n">
        <v>4</v>
      </c>
      <c r="I186" s="3" t="n">
        <v>5</v>
      </c>
      <c r="J186" s="3" t="n">
        <v>0</v>
      </c>
      <c r="K186" s="4">
        <f>G186/F186</f>
        <v/>
      </c>
      <c r="L186" s="4">
        <f>H186/F186</f>
        <v/>
      </c>
      <c r="M186" s="4">
        <f>I186/F186</f>
        <v/>
      </c>
      <c r="N186" s="3" t="n">
        <v>24</v>
      </c>
      <c r="O186" s="3" t="n">
        <v>0</v>
      </c>
      <c r="P186" s="2">
        <f>IF(F186&lt;100,"종료 100마리 미만","")</f>
        <v/>
      </c>
    </row>
    <row r="187">
      <c r="A187" s="2">
        <f>RANK(K187,$K$2:$K$454)</f>
        <v/>
      </c>
      <c r="B187" s="2" t="inlineStr">
        <is>
          <t>전북특별자치도</t>
        </is>
      </c>
      <c r="C187" s="2" t="inlineStr">
        <is>
          <t>전북특별자치도 전주시</t>
        </is>
      </c>
      <c r="D187" s="2" t="inlineStr">
        <is>
          <t>사랑플러스동물병원</t>
        </is>
      </c>
      <c r="E187" s="2" t="inlineStr">
        <is>
          <t>345464202400001</t>
        </is>
      </c>
      <c r="F187" s="3">
        <f>SUM(G187:J187)</f>
        <v/>
      </c>
      <c r="G187" s="3" t="n">
        <v>22</v>
      </c>
      <c r="H187" s="3" t="n">
        <v>18</v>
      </c>
      <c r="I187" s="3" t="n">
        <v>2</v>
      </c>
      <c r="J187" s="3" t="n">
        <v>0</v>
      </c>
      <c r="K187" s="4">
        <f>G187/F187</f>
        <v/>
      </c>
      <c r="L187" s="4">
        <f>H187/F187</f>
        <v/>
      </c>
      <c r="M187" s="4">
        <f>I187/F187</f>
        <v/>
      </c>
      <c r="N187" s="3" t="n">
        <v>6</v>
      </c>
      <c r="O187" s="3" t="n">
        <v>0</v>
      </c>
      <c r="P187" s="2">
        <f>IF(F187&lt;100,"종료 100마리 미만","")</f>
        <v/>
      </c>
    </row>
    <row r="188">
      <c r="A188" s="2">
        <f>RANK(K188,$K$2:$K$454)</f>
        <v/>
      </c>
      <c r="B188" s="2" t="inlineStr">
        <is>
          <t>충청북도</t>
        </is>
      </c>
      <c r="C188" s="2" t="inlineStr">
        <is>
          <t>충청북도 옥천군</t>
        </is>
      </c>
      <c r="D188" s="2" t="inlineStr">
        <is>
          <t>옥천동물병원</t>
        </is>
      </c>
      <c r="E188" s="2" t="inlineStr">
        <is>
          <t>343443201500001</t>
        </is>
      </c>
      <c r="F188" s="3">
        <f>SUM(G188:J188)</f>
        <v/>
      </c>
      <c r="G188" s="3" t="n">
        <v>745</v>
      </c>
      <c r="H188" s="3" t="n">
        <v>512</v>
      </c>
      <c r="I188" s="3" t="n">
        <v>169</v>
      </c>
      <c r="J188" s="3" t="n">
        <v>0</v>
      </c>
      <c r="K188" s="4">
        <f>G188/F188</f>
        <v/>
      </c>
      <c r="L188" s="4">
        <f>H188/F188</f>
        <v/>
      </c>
      <c r="M188" s="4">
        <f>I188/F188</f>
        <v/>
      </c>
      <c r="N188" s="3" t="n">
        <v>182</v>
      </c>
      <c r="O188" s="3" t="n">
        <v>108</v>
      </c>
      <c r="P188" s="2">
        <f>IF(F188&lt;100,"종료 100마리 미만","")</f>
        <v/>
      </c>
    </row>
    <row r="189">
      <c r="A189" s="2">
        <f>RANK(K189,$K$2:$K$454)</f>
        <v/>
      </c>
      <c r="B189" s="2" t="inlineStr">
        <is>
          <t>전북특별자치도</t>
        </is>
      </c>
      <c r="C189" s="2" t="inlineStr">
        <is>
          <t>전북특별자치도 전주시</t>
        </is>
      </c>
      <c r="D189" s="2" t="inlineStr">
        <is>
          <t>서신동물병원</t>
        </is>
      </c>
      <c r="E189" s="2" t="inlineStr">
        <is>
          <t>345464201100003</t>
        </is>
      </c>
      <c r="F189" s="3">
        <f>SUM(G189:J189)</f>
        <v/>
      </c>
      <c r="G189" s="3" t="n">
        <v>80</v>
      </c>
      <c r="H189" s="3" t="n">
        <v>43</v>
      </c>
      <c r="I189" s="3" t="n">
        <v>23</v>
      </c>
      <c r="J189" s="3" t="n">
        <v>8</v>
      </c>
      <c r="K189" s="4">
        <f>G189/F189</f>
        <v/>
      </c>
      <c r="L189" s="4">
        <f>H189/F189</f>
        <v/>
      </c>
      <c r="M189" s="4">
        <f>I189/F189</f>
        <v/>
      </c>
      <c r="N189" s="3" t="n">
        <v>25</v>
      </c>
      <c r="O189" s="3" t="n">
        <v>0</v>
      </c>
      <c r="P189" s="2">
        <f>IF(F189&lt;100,"종료 100마리 미만","")</f>
        <v/>
      </c>
    </row>
    <row r="190">
      <c r="A190" s="2">
        <f>RANK(K190,$K$2:$K$454)</f>
        <v/>
      </c>
      <c r="B190" s="2" t="inlineStr">
        <is>
          <t>부산광역시</t>
        </is>
      </c>
      <c r="C190" s="2" t="inlineStr">
        <is>
          <t>부산광역시 수영구</t>
        </is>
      </c>
      <c r="D190" s="2" t="inlineStr">
        <is>
          <t>(사)동부동물보호협회</t>
        </is>
      </c>
      <c r="E190" s="2" t="inlineStr">
        <is>
          <t>326338201300001</t>
        </is>
      </c>
      <c r="F190" s="3">
        <f>SUM(G190:J190)</f>
        <v/>
      </c>
      <c r="G190" s="3" t="n">
        <v>138</v>
      </c>
      <c r="H190" s="3" t="n">
        <v>9</v>
      </c>
      <c r="I190" s="3" t="n">
        <v>119</v>
      </c>
      <c r="J190" s="3" t="n">
        <v>0</v>
      </c>
      <c r="K190" s="4">
        <f>G190/F190</f>
        <v/>
      </c>
      <c r="L190" s="4">
        <f>H190/F190</f>
        <v/>
      </c>
      <c r="M190" s="4">
        <f>I190/F190</f>
        <v/>
      </c>
      <c r="N190" s="3" t="n">
        <v>203</v>
      </c>
      <c r="O190" s="3" t="n">
        <v>1</v>
      </c>
      <c r="P190" s="2">
        <f>IF(F190&lt;100,"종료 100마리 미만","")</f>
        <v/>
      </c>
    </row>
    <row r="191">
      <c r="A191" s="2">
        <f>RANK(K191,$K$2:$K$454)</f>
        <v/>
      </c>
      <c r="B191" s="2" t="inlineStr">
        <is>
          <t>서울특별시</t>
        </is>
      </c>
      <c r="C191" s="2" t="inlineStr">
        <is>
          <t>서울특별시 강서구</t>
        </is>
      </c>
      <c r="D191" s="2" t="inlineStr">
        <is>
          <t>한국동물구조관리협회</t>
        </is>
      </c>
      <c r="E191" s="2" t="inlineStr">
        <is>
          <t>311315200900001</t>
        </is>
      </c>
      <c r="F191" s="3">
        <f>SUM(G191:J191)</f>
        <v/>
      </c>
      <c r="G191" s="3" t="n">
        <v>171</v>
      </c>
      <c r="H191" s="3" t="n">
        <v>119</v>
      </c>
      <c r="I191" s="3" t="n">
        <v>21</v>
      </c>
      <c r="J191" s="3" t="n">
        <v>22</v>
      </c>
      <c r="K191" s="4">
        <f>G191/F191</f>
        <v/>
      </c>
      <c r="L191" s="4">
        <f>H191/F191</f>
        <v/>
      </c>
      <c r="M191" s="4">
        <f>I191/F191</f>
        <v/>
      </c>
      <c r="N191" s="3" t="n">
        <v>225</v>
      </c>
      <c r="O191" s="3" t="n">
        <v>1</v>
      </c>
      <c r="P191" s="2">
        <f>IF(F191&lt;100,"종료 100마리 미만","")</f>
        <v/>
      </c>
    </row>
    <row r="192">
      <c r="A192" s="2">
        <f>RANK(K192,$K$2:$K$454)</f>
        <v/>
      </c>
      <c r="B192" s="2" t="inlineStr">
        <is>
          <t>전북특별자치도</t>
        </is>
      </c>
      <c r="C192" s="2" t="inlineStr">
        <is>
          <t>전북특별자치도 전주시</t>
        </is>
      </c>
      <c r="D192" s="2" t="inlineStr">
        <is>
          <t>행복한동물병원</t>
        </is>
      </c>
      <c r="E192" s="2" t="inlineStr">
        <is>
          <t>345464201200001</t>
        </is>
      </c>
      <c r="F192" s="3">
        <f>SUM(G192:J192)</f>
        <v/>
      </c>
      <c r="G192" s="3" t="n">
        <v>474</v>
      </c>
      <c r="H192" s="3" t="n">
        <v>283</v>
      </c>
      <c r="I192" s="3" t="n">
        <v>170</v>
      </c>
      <c r="J192" s="3" t="n">
        <v>1</v>
      </c>
      <c r="K192" s="4">
        <f>G192/F192</f>
        <v/>
      </c>
      <c r="L192" s="4">
        <f>H192/F192</f>
        <v/>
      </c>
      <c r="M192" s="4">
        <f>I192/F192</f>
        <v/>
      </c>
      <c r="N192" s="3" t="n">
        <v>349</v>
      </c>
      <c r="O192" s="3" t="n">
        <v>0</v>
      </c>
      <c r="P192" s="2">
        <f>IF(F192&lt;100,"종료 100마리 미만","")</f>
        <v/>
      </c>
    </row>
    <row r="193">
      <c r="A193" s="2">
        <f>RANK(K193,$K$2:$K$454)</f>
        <v/>
      </c>
      <c r="B193" s="2" t="inlineStr">
        <is>
          <t>인천광역시</t>
        </is>
      </c>
      <c r="C193" s="2" t="inlineStr">
        <is>
          <t>인천광역시 연수구</t>
        </is>
      </c>
      <c r="D193" s="2" t="inlineStr">
        <is>
          <t>인천광역시수의사회</t>
        </is>
      </c>
      <c r="E193" s="2" t="inlineStr">
        <is>
          <t>328352201400001</t>
        </is>
      </c>
      <c r="F193" s="3">
        <f>SUM(G193:J193)</f>
        <v/>
      </c>
      <c r="G193" s="3" t="n">
        <v>149</v>
      </c>
      <c r="H193" s="3" t="n">
        <v>45</v>
      </c>
      <c r="I193" s="3" t="n">
        <v>68</v>
      </c>
      <c r="J193" s="3" t="n">
        <v>30</v>
      </c>
      <c r="K193" s="4">
        <f>G193/F193</f>
        <v/>
      </c>
      <c r="L193" s="4">
        <f>H193/F193</f>
        <v/>
      </c>
      <c r="M193" s="4">
        <f>I193/F193</f>
        <v/>
      </c>
      <c r="N193" s="3" t="n">
        <v>150</v>
      </c>
      <c r="O193" s="3" t="n">
        <v>0</v>
      </c>
      <c r="P193" s="2">
        <f>IF(F193&lt;100,"종료 100마리 미만","")</f>
        <v/>
      </c>
    </row>
    <row r="194">
      <c r="A194" s="2">
        <f>RANK(K194,$K$2:$K$454)</f>
        <v/>
      </c>
      <c r="B194" s="2" t="inlineStr">
        <is>
          <t>서울특별시</t>
        </is>
      </c>
      <c r="C194" s="2" t="inlineStr">
        <is>
          <t>서울특별시 노원구</t>
        </is>
      </c>
      <c r="D194" s="2" t="inlineStr">
        <is>
          <t>노원반려동물문화센터</t>
        </is>
      </c>
      <c r="E194" s="2" t="inlineStr">
        <is>
          <t>311310202000004</t>
        </is>
      </c>
      <c r="F194" s="3">
        <f>SUM(G194:J194)</f>
        <v/>
      </c>
      <c r="G194" s="3" t="n">
        <v>30</v>
      </c>
      <c r="H194" s="3" t="n">
        <v>0</v>
      </c>
      <c r="I194" s="3" t="n">
        <v>0</v>
      </c>
      <c r="J194" s="3" t="n">
        <v>29</v>
      </c>
      <c r="K194" s="4">
        <f>G194/F194</f>
        <v/>
      </c>
      <c r="L194" s="4">
        <f>H194/F194</f>
        <v/>
      </c>
      <c r="M194" s="4">
        <f>I194/F194</f>
        <v/>
      </c>
      <c r="N194" s="3" t="n">
        <v>17</v>
      </c>
      <c r="O194" s="3" t="n">
        <v>5</v>
      </c>
      <c r="P194" s="2">
        <f>IF(F194&lt;100,"종료 100마리 미만","")</f>
        <v/>
      </c>
    </row>
    <row r="195">
      <c r="A195" s="2">
        <f>RANK(K195,$K$2:$K$454)</f>
        <v/>
      </c>
      <c r="B195" s="2" t="inlineStr">
        <is>
          <t>전북특별자치도</t>
        </is>
      </c>
      <c r="C195" s="2" t="inlineStr">
        <is>
          <t>전북특별자치도 완주군</t>
        </is>
      </c>
      <c r="D195" s="2" t="inlineStr">
        <is>
          <t>별빛유기동물지킴이</t>
        </is>
      </c>
      <c r="E195" s="2" t="inlineStr">
        <is>
          <t>345472202100001</t>
        </is>
      </c>
      <c r="F195" s="3">
        <f>SUM(G195:J195)</f>
        <v/>
      </c>
      <c r="G195" s="3" t="n">
        <v>147</v>
      </c>
      <c r="H195" s="3" t="n">
        <v>0</v>
      </c>
      <c r="I195" s="3" t="n">
        <v>99</v>
      </c>
      <c r="J195" s="3" t="n">
        <v>44</v>
      </c>
      <c r="K195" s="4">
        <f>G195/F195</f>
        <v/>
      </c>
      <c r="L195" s="4">
        <f>H195/F195</f>
        <v/>
      </c>
      <c r="M195" s="4">
        <f>I195/F195</f>
        <v/>
      </c>
      <c r="N195" s="3" t="n">
        <v>19</v>
      </c>
      <c r="O195" s="3" t="n">
        <v>0</v>
      </c>
      <c r="P195" s="2">
        <f>IF(F195&lt;100,"종료 100마리 미만","")</f>
        <v/>
      </c>
    </row>
    <row r="196">
      <c r="A196" s="2">
        <f>RANK(K196,$K$2:$K$454)</f>
        <v/>
      </c>
      <c r="B196" s="2" t="inlineStr">
        <is>
          <t>경상남도</t>
        </is>
      </c>
      <c r="C196" s="2" t="inlineStr">
        <is>
          <t>경상남도 창원시 진해구</t>
        </is>
      </c>
      <c r="D196" s="2" t="inlineStr">
        <is>
          <t>진해유기동물보호소</t>
        </is>
      </c>
      <c r="E196" s="2" t="inlineStr">
        <is>
          <t>348532200900001</t>
        </is>
      </c>
      <c r="F196" s="3">
        <f>SUM(G196:J196)</f>
        <v/>
      </c>
      <c r="G196" s="3" t="n">
        <v>495</v>
      </c>
      <c r="H196" s="3" t="n">
        <v>195</v>
      </c>
      <c r="I196" s="3" t="n">
        <v>104</v>
      </c>
      <c r="J196" s="3" t="n">
        <v>183</v>
      </c>
      <c r="K196" s="4">
        <f>G196/F196</f>
        <v/>
      </c>
      <c r="L196" s="4">
        <f>H196/F196</f>
        <v/>
      </c>
      <c r="M196" s="4">
        <f>I196/F196</f>
        <v/>
      </c>
      <c r="N196" s="3" t="n">
        <v>418</v>
      </c>
      <c r="O196" s="3" t="n">
        <v>61</v>
      </c>
      <c r="P196" s="2">
        <f>IF(F196&lt;100,"종료 100마리 미만","")</f>
        <v/>
      </c>
    </row>
    <row r="197">
      <c r="A197" s="2">
        <f>RANK(K197,$K$2:$K$454)</f>
        <v/>
      </c>
      <c r="B197" s="2" t="inlineStr">
        <is>
          <t>전북특별자치도</t>
        </is>
      </c>
      <c r="C197" s="2" t="inlineStr">
        <is>
          <t>전북특별자치도 전주시</t>
        </is>
      </c>
      <c r="D197" s="2" t="inlineStr">
        <is>
          <t>프렌즈동물병원</t>
        </is>
      </c>
      <c r="E197" s="2" t="inlineStr">
        <is>
          <t>345464200900001</t>
        </is>
      </c>
      <c r="F197" s="3">
        <f>SUM(G197:J197)</f>
        <v/>
      </c>
      <c r="G197" s="3" t="n">
        <v>328</v>
      </c>
      <c r="H197" s="3" t="n">
        <v>218</v>
      </c>
      <c r="I197" s="3" t="n">
        <v>103</v>
      </c>
      <c r="J197" s="3" t="n">
        <v>0</v>
      </c>
      <c r="K197" s="4">
        <f>G197/F197</f>
        <v/>
      </c>
      <c r="L197" s="4">
        <f>H197/F197</f>
        <v/>
      </c>
      <c r="M197" s="4">
        <f>I197/F197</f>
        <v/>
      </c>
      <c r="N197" s="3" t="n">
        <v>228</v>
      </c>
      <c r="O197" s="3" t="n">
        <v>0</v>
      </c>
      <c r="P197" s="2">
        <f>IF(F197&lt;100,"종료 100마리 미만","")</f>
        <v/>
      </c>
    </row>
    <row r="198">
      <c r="A198" s="2">
        <f>RANK(K198,$K$2:$K$454)</f>
        <v/>
      </c>
      <c r="B198" s="2" t="inlineStr">
        <is>
          <t>충청북도</t>
        </is>
      </c>
      <c r="C198" s="2" t="inlineStr">
        <is>
          <t>충청북도 제천시</t>
        </is>
      </c>
      <c r="D198" s="2" t="inlineStr">
        <is>
          <t>제천시 동물보호센터</t>
        </is>
      </c>
      <c r="E198" s="2" t="inlineStr">
        <is>
          <t>343440201500002</t>
        </is>
      </c>
      <c r="F198" s="3">
        <f>SUM(G198:J198)</f>
        <v/>
      </c>
      <c r="G198" s="3" t="n">
        <v>395</v>
      </c>
      <c r="H198" s="3" t="n">
        <v>324</v>
      </c>
      <c r="I198" s="3" t="n">
        <v>51</v>
      </c>
      <c r="J198" s="3" t="n">
        <v>14</v>
      </c>
      <c r="K198" s="4">
        <f>G198/F198</f>
        <v/>
      </c>
      <c r="L198" s="4">
        <f>H198/F198</f>
        <v/>
      </c>
      <c r="M198" s="4">
        <f>I198/F198</f>
        <v/>
      </c>
      <c r="N198" s="3" t="n">
        <v>244</v>
      </c>
      <c r="O198" s="3" t="n">
        <v>0</v>
      </c>
      <c r="P198" s="2">
        <f>IF(F198&lt;100,"종료 100마리 미만","")</f>
        <v/>
      </c>
    </row>
    <row r="199">
      <c r="A199" s="2">
        <f>RANK(K199,$K$2:$K$454)</f>
        <v/>
      </c>
      <c r="B199" s="2" t="inlineStr">
        <is>
          <t>울산광역시</t>
        </is>
      </c>
      <c r="C199" s="2" t="inlineStr">
        <is>
          <t>울산광역시 남구</t>
        </is>
      </c>
      <c r="D199" s="2" t="inlineStr">
        <is>
          <t>강남동물병원</t>
        </is>
      </c>
      <c r="E199" s="2" t="inlineStr">
        <is>
          <t>331370201800001</t>
        </is>
      </c>
      <c r="F199" s="3">
        <f>SUM(G199:J199)</f>
        <v/>
      </c>
      <c r="G199" s="3" t="n">
        <v>69</v>
      </c>
      <c r="H199" s="3" t="n">
        <v>1</v>
      </c>
      <c r="I199" s="3" t="n">
        <v>33</v>
      </c>
      <c r="J199" s="3" t="n">
        <v>35</v>
      </c>
      <c r="K199" s="4">
        <f>G199/F199</f>
        <v/>
      </c>
      <c r="L199" s="4">
        <f>H199/F199</f>
        <v/>
      </c>
      <c r="M199" s="4">
        <f>I199/F199</f>
        <v/>
      </c>
      <c r="N199" s="3" t="n">
        <v>70</v>
      </c>
      <c r="O199" s="3" t="n">
        <v>0</v>
      </c>
      <c r="P199" s="2">
        <f>IF(F199&lt;100,"종료 100마리 미만","")</f>
        <v/>
      </c>
    </row>
    <row r="200">
      <c r="A200" s="2">
        <f>RANK(K200,$K$2:$K$454)</f>
        <v/>
      </c>
      <c r="B200" s="2" t="inlineStr">
        <is>
          <t>전북특별자치도</t>
        </is>
      </c>
      <c r="C200" s="2" t="inlineStr">
        <is>
          <t>전북특별자치도 완주군</t>
        </is>
      </c>
      <c r="D200" s="2" t="inlineStr">
        <is>
          <t>태산동물병원</t>
        </is>
      </c>
      <c r="E200" s="2" t="inlineStr">
        <is>
          <t>345472201900001</t>
        </is>
      </c>
      <c r="F200" s="3">
        <f>SUM(G200:J200)</f>
        <v/>
      </c>
      <c r="G200" s="3" t="n">
        <v>32</v>
      </c>
      <c r="H200" s="3" t="n">
        <v>0</v>
      </c>
      <c r="I200" s="3" t="n">
        <v>21</v>
      </c>
      <c r="J200" s="3" t="n">
        <v>11</v>
      </c>
      <c r="K200" s="4">
        <f>G200/F200</f>
        <v/>
      </c>
      <c r="L200" s="4">
        <f>H200/F200</f>
        <v/>
      </c>
      <c r="M200" s="4">
        <f>I200/F200</f>
        <v/>
      </c>
      <c r="N200" s="3" t="n">
        <v>5</v>
      </c>
      <c r="O200" s="3" t="n">
        <v>0</v>
      </c>
      <c r="P200" s="2">
        <f>IF(F200&lt;100,"종료 100마리 미만","")</f>
        <v/>
      </c>
    </row>
    <row r="201">
      <c r="A201" s="2">
        <f>RANK(K201,$K$2:$K$454)</f>
        <v/>
      </c>
      <c r="B201" s="2" t="inlineStr">
        <is>
          <t>경기도</t>
        </is>
      </c>
      <c r="C201" s="2" t="inlineStr">
        <is>
          <t>경기도 파주시</t>
        </is>
      </c>
      <c r="D201" s="2" t="inlineStr">
        <is>
          <t>문산동물병원</t>
        </is>
      </c>
      <c r="E201" s="2" t="inlineStr">
        <is>
          <t>341406201300003</t>
        </is>
      </c>
      <c r="F201" s="3">
        <f>SUM(G201:J201)</f>
        <v/>
      </c>
      <c r="G201" s="3" t="n">
        <v>8</v>
      </c>
      <c r="H201" s="3" t="n">
        <v>0</v>
      </c>
      <c r="I201" s="3" t="n">
        <v>0</v>
      </c>
      <c r="J201" s="3" t="n">
        <v>8</v>
      </c>
      <c r="K201" s="4">
        <f>G201/F201</f>
        <v/>
      </c>
      <c r="L201" s="4">
        <f>H201/F201</f>
        <v/>
      </c>
      <c r="M201" s="4">
        <f>I201/F201</f>
        <v/>
      </c>
      <c r="N201" s="3" t="n">
        <v>11</v>
      </c>
      <c r="O201" s="3" t="n">
        <v>0</v>
      </c>
      <c r="P201" s="2">
        <f>IF(F201&lt;100,"종료 100마리 미만","")</f>
        <v/>
      </c>
    </row>
    <row r="202">
      <c r="A202" s="2">
        <f>RANK(K202,$K$2:$K$454)</f>
        <v/>
      </c>
      <c r="B202" s="2" t="inlineStr">
        <is>
          <t>충청남도</t>
        </is>
      </c>
      <c r="C202" s="2" t="inlineStr">
        <is>
          <t>충청남도 금산군</t>
        </is>
      </c>
      <c r="D202" s="2" t="inlineStr">
        <is>
          <t>우신동물병원</t>
        </is>
      </c>
      <c r="E202" s="2" t="inlineStr">
        <is>
          <t>344455201800001</t>
        </is>
      </c>
      <c r="F202" s="3">
        <f>SUM(G202:J202)</f>
        <v/>
      </c>
      <c r="G202" s="3" t="n">
        <v>4</v>
      </c>
      <c r="H202" s="3" t="n">
        <v>3</v>
      </c>
      <c r="I202" s="3" t="n">
        <v>1</v>
      </c>
      <c r="J202" s="3" t="n">
        <v>0</v>
      </c>
      <c r="K202" s="4">
        <f>G202/F202</f>
        <v/>
      </c>
      <c r="L202" s="4">
        <f>H202/F202</f>
        <v/>
      </c>
      <c r="M202" s="4">
        <f>I202/F202</f>
        <v/>
      </c>
      <c r="N202" s="3" t="n">
        <v>2</v>
      </c>
      <c r="O202" s="3" t="n">
        <v>0</v>
      </c>
      <c r="P202" s="2">
        <f>IF(F202&lt;100,"종료 100마리 미만","")</f>
        <v/>
      </c>
    </row>
    <row r="203">
      <c r="A203" s="2">
        <f>RANK(K203,$K$2:$K$454)</f>
        <v/>
      </c>
      <c r="B203" s="2" t="inlineStr">
        <is>
          <t>인천광역시</t>
        </is>
      </c>
      <c r="C203" s="2" t="inlineStr">
        <is>
          <t>인천광역시 옹진군</t>
        </is>
      </c>
      <c r="D203" s="2" t="inlineStr">
        <is>
          <t>경동동물병원</t>
        </is>
      </c>
      <c r="E203" s="2" t="inlineStr">
        <is>
          <t>328358202500001</t>
        </is>
      </c>
      <c r="F203" s="3">
        <f>SUM(G203:J203)</f>
        <v/>
      </c>
      <c r="G203" s="3" t="n">
        <v>2</v>
      </c>
      <c r="H203" s="3" t="n">
        <v>0</v>
      </c>
      <c r="I203" s="3" t="n">
        <v>0</v>
      </c>
      <c r="J203" s="3" t="n">
        <v>2</v>
      </c>
      <c r="K203" s="4">
        <f>G203/F203</f>
        <v/>
      </c>
      <c r="L203" s="4">
        <f>H203/F203</f>
        <v/>
      </c>
      <c r="M203" s="4">
        <f>I203/F203</f>
        <v/>
      </c>
      <c r="N203" s="3" t="n">
        <v>0</v>
      </c>
      <c r="O203" s="3" t="n">
        <v>0</v>
      </c>
      <c r="P203" s="2">
        <f>IF(F203&lt;100,"종료 100마리 미만","")</f>
        <v/>
      </c>
    </row>
    <row r="204">
      <c r="A204" s="2">
        <f>RANK(K204,$K$2:$K$454)</f>
        <v/>
      </c>
      <c r="B204" s="2" t="inlineStr">
        <is>
          <t>서울특별시</t>
        </is>
      </c>
      <c r="C204" s="2" t="inlineStr">
        <is>
          <t>서울특별시 강동구</t>
        </is>
      </c>
      <c r="D204" s="2" t="inlineStr">
        <is>
          <t>GD동물병원</t>
        </is>
      </c>
      <c r="E204" s="2" t="inlineStr">
        <is>
          <t>311324201600004</t>
        </is>
      </c>
      <c r="F204" s="3">
        <f>SUM(G204:J204)</f>
        <v/>
      </c>
      <c r="G204" s="3" t="n">
        <v>1</v>
      </c>
      <c r="H204" s="3" t="n">
        <v>0</v>
      </c>
      <c r="I204" s="3" t="n">
        <v>0</v>
      </c>
      <c r="J204" s="3" t="n">
        <v>1</v>
      </c>
      <c r="K204" s="4">
        <f>G204/F204</f>
        <v/>
      </c>
      <c r="L204" s="4">
        <f>H204/F204</f>
        <v/>
      </c>
      <c r="M204" s="4">
        <f>I204/F204</f>
        <v/>
      </c>
      <c r="N204" s="3" t="n">
        <v>4</v>
      </c>
      <c r="O204" s="3" t="n">
        <v>0</v>
      </c>
      <c r="P204" s="2">
        <f>IF(F204&lt;100,"종료 100마리 미만","")</f>
        <v/>
      </c>
    </row>
    <row r="205">
      <c r="A205" s="2">
        <f>RANK(K205,$K$2:$K$454)</f>
        <v/>
      </c>
      <c r="B205" s="2" t="inlineStr">
        <is>
          <t>전남광주통합특별시</t>
        </is>
      </c>
      <c r="C205" s="2" t="inlineStr">
        <is>
          <t>전남광주통합특별시 광산구</t>
        </is>
      </c>
      <c r="D205" s="2" t="inlineStr">
        <is>
          <t>다나동물병원</t>
        </is>
      </c>
      <c r="E205" s="2" t="inlineStr">
        <is>
          <t>329363202500001</t>
        </is>
      </c>
      <c r="F205" s="3">
        <f>SUM(G205:J205)</f>
        <v/>
      </c>
      <c r="G205" s="3" t="n">
        <v>1</v>
      </c>
      <c r="H205" s="3" t="n">
        <v>0</v>
      </c>
      <c r="I205" s="3" t="n">
        <v>0</v>
      </c>
      <c r="J205" s="3" t="n">
        <v>1</v>
      </c>
      <c r="K205" s="4">
        <f>G205/F205</f>
        <v/>
      </c>
      <c r="L205" s="4">
        <f>H205/F205</f>
        <v/>
      </c>
      <c r="M205" s="4">
        <f>I205/F205</f>
        <v/>
      </c>
      <c r="N205" s="3" t="n">
        <v>0</v>
      </c>
      <c r="O205" s="3" t="n">
        <v>1</v>
      </c>
      <c r="P205" s="2">
        <f>IF(F205&lt;100,"종료 100마리 미만","")</f>
        <v/>
      </c>
    </row>
    <row r="206">
      <c r="A206" s="2">
        <f>RANK(K206,$K$2:$K$454)</f>
        <v/>
      </c>
      <c r="B206" s="2" t="inlineStr">
        <is>
          <t>경기도</t>
        </is>
      </c>
      <c r="C206" s="2" t="inlineStr">
        <is>
          <t>경기도 남양주시</t>
        </is>
      </c>
      <c r="D206" s="2" t="inlineStr">
        <is>
          <t>대관령동물병원</t>
        </is>
      </c>
      <c r="E206" s="2" t="inlineStr">
        <is>
          <t>341399202100001</t>
        </is>
      </c>
      <c r="F206" s="3">
        <f>SUM(G206:J206)</f>
        <v/>
      </c>
      <c r="G206" s="3" t="n">
        <v>1</v>
      </c>
      <c r="H206" s="3" t="n">
        <v>0</v>
      </c>
      <c r="I206" s="3" t="n">
        <v>0</v>
      </c>
      <c r="J206" s="3" t="n">
        <v>1</v>
      </c>
      <c r="K206" s="4">
        <f>G206/F206</f>
        <v/>
      </c>
      <c r="L206" s="4">
        <f>H206/F206</f>
        <v/>
      </c>
      <c r="M206" s="4">
        <f>I206/F206</f>
        <v/>
      </c>
      <c r="N206" s="3" t="n">
        <v>0</v>
      </c>
      <c r="O206" s="3" t="n">
        <v>0</v>
      </c>
      <c r="P206" s="2">
        <f>IF(F206&lt;100,"종료 100마리 미만","")</f>
        <v/>
      </c>
    </row>
    <row r="207">
      <c r="A207" s="2">
        <f>RANK(K207,$K$2:$K$454)</f>
        <v/>
      </c>
      <c r="B207" s="2" t="inlineStr">
        <is>
          <t>강원특별자치도</t>
        </is>
      </c>
      <c r="C207" s="2" t="inlineStr">
        <is>
          <t>강원특별자치도 횡성군</t>
        </is>
      </c>
      <c r="D207" s="2" t="inlineStr">
        <is>
          <t>횡성반려동물보호센터</t>
        </is>
      </c>
      <c r="E207" s="2" t="inlineStr">
        <is>
          <t>342426202500001</t>
        </is>
      </c>
      <c r="F207" s="3">
        <f>SUM(G207:J207)</f>
        <v/>
      </c>
      <c r="G207" s="3" t="n">
        <v>1</v>
      </c>
      <c r="H207" s="3" t="n">
        <v>0</v>
      </c>
      <c r="I207" s="3" t="n">
        <v>0</v>
      </c>
      <c r="J207" s="3" t="n">
        <v>1</v>
      </c>
      <c r="K207" s="4">
        <f>G207/F207</f>
        <v/>
      </c>
      <c r="L207" s="4">
        <f>H207/F207</f>
        <v/>
      </c>
      <c r="M207" s="4">
        <f>I207/F207</f>
        <v/>
      </c>
      <c r="N207" s="3" t="n">
        <v>0</v>
      </c>
      <c r="O207" s="3" t="n">
        <v>2</v>
      </c>
      <c r="P207" s="2">
        <f>IF(F207&lt;100,"종료 100마리 미만","")</f>
        <v/>
      </c>
    </row>
    <row r="208">
      <c r="A208" s="2">
        <f>RANK(K208,$K$2:$K$454)</f>
        <v/>
      </c>
      <c r="B208" s="2" t="inlineStr">
        <is>
          <t>전남광주통합특별시</t>
        </is>
      </c>
      <c r="C208" s="2" t="inlineStr">
        <is>
          <t>전남광주통합특별시 나주시</t>
        </is>
      </c>
      <c r="D208" s="2" t="inlineStr">
        <is>
          <t>벤지동물병원</t>
        </is>
      </c>
      <c r="E208" s="2" t="inlineStr">
        <is>
          <t>346483202300001</t>
        </is>
      </c>
      <c r="F208" s="3">
        <f>SUM(G208:J208)</f>
        <v/>
      </c>
      <c r="G208" s="3" t="n">
        <v>1</v>
      </c>
      <c r="H208" s="3" t="n">
        <v>1</v>
      </c>
      <c r="I208" s="3" t="n">
        <v>0</v>
      </c>
      <c r="J208" s="3" t="n">
        <v>0</v>
      </c>
      <c r="K208" s="4">
        <f>G208/F208</f>
        <v/>
      </c>
      <c r="L208" s="4">
        <f>H208/F208</f>
        <v/>
      </c>
      <c r="M208" s="4">
        <f>I208/F208</f>
        <v/>
      </c>
      <c r="N208" s="3" t="n">
        <v>0</v>
      </c>
      <c r="O208" s="3" t="n">
        <v>0</v>
      </c>
      <c r="P208" s="2">
        <f>IF(F208&lt;100,"종료 100마리 미만","")</f>
        <v/>
      </c>
    </row>
    <row r="209">
      <c r="A209" s="2">
        <f>RANK(K209,$K$2:$K$454)</f>
        <v/>
      </c>
      <c r="B209" s="2" t="inlineStr">
        <is>
          <t>전북특별자치도</t>
        </is>
      </c>
      <c r="C209" s="2" t="inlineStr">
        <is>
          <t>전북특별자치도 전주시</t>
        </is>
      </c>
      <c r="D209" s="2" t="inlineStr">
        <is>
          <t>21세기동물병원</t>
        </is>
      </c>
      <c r="E209" s="2" t="inlineStr">
        <is>
          <t>345464201100009</t>
        </is>
      </c>
      <c r="F209" s="3">
        <f>SUM(G209:J209)</f>
        <v/>
      </c>
      <c r="G209" s="3" t="n">
        <v>78</v>
      </c>
      <c r="H209" s="3" t="n">
        <v>50</v>
      </c>
      <c r="I209" s="3" t="n">
        <v>29</v>
      </c>
      <c r="J209" s="3" t="n">
        <v>0</v>
      </c>
      <c r="K209" s="4">
        <f>G209/F209</f>
        <v/>
      </c>
      <c r="L209" s="4">
        <f>H209/F209</f>
        <v/>
      </c>
      <c r="M209" s="4">
        <f>I209/F209</f>
        <v/>
      </c>
      <c r="N209" s="3" t="n">
        <v>67</v>
      </c>
      <c r="O209" s="3" t="n">
        <v>0</v>
      </c>
      <c r="P209" s="2">
        <f>IF(F209&lt;100,"종료 100마리 미만","")</f>
        <v/>
      </c>
    </row>
    <row r="210">
      <c r="A210" s="2">
        <f>RANK(K210,$K$2:$K$454)</f>
        <v/>
      </c>
      <c r="B210" s="2" t="inlineStr">
        <is>
          <t>인천광역시</t>
        </is>
      </c>
      <c r="C210" s="2" t="inlineStr">
        <is>
          <t>인천광역시 미추홀구</t>
        </is>
      </c>
      <c r="D210" s="2" t="inlineStr">
        <is>
          <t>경동동물병원</t>
        </is>
      </c>
      <c r="E210" s="2" t="inlineStr">
        <is>
          <t>328351200900001</t>
        </is>
      </c>
      <c r="F210" s="3">
        <f>SUM(G210:J210)</f>
        <v/>
      </c>
      <c r="G210" s="3" t="n">
        <v>512</v>
      </c>
      <c r="H210" s="3" t="n">
        <v>88</v>
      </c>
      <c r="I210" s="3" t="n">
        <v>227</v>
      </c>
      <c r="J210" s="3" t="n">
        <v>205</v>
      </c>
      <c r="K210" s="4">
        <f>G210/F210</f>
        <v/>
      </c>
      <c r="L210" s="4">
        <f>H210/F210</f>
        <v/>
      </c>
      <c r="M210" s="4">
        <f>I210/F210</f>
        <v/>
      </c>
      <c r="N210" s="3" t="n">
        <v>568</v>
      </c>
      <c r="O210" s="3" t="n">
        <v>0</v>
      </c>
      <c r="P210" s="2">
        <f>IF(F210&lt;100,"종료 100마리 미만","")</f>
        <v/>
      </c>
    </row>
    <row r="211">
      <c r="A211" s="2">
        <f>RANK(K211,$K$2:$K$454)</f>
        <v/>
      </c>
      <c r="B211" s="2" t="inlineStr">
        <is>
          <t>부산광역시</t>
        </is>
      </c>
      <c r="C211" s="2" t="inlineStr">
        <is>
          <t>부산광역시 동래구</t>
        </is>
      </c>
      <c r="D211" s="2" t="inlineStr">
        <is>
          <t>(사)동부동물보호협회</t>
        </is>
      </c>
      <c r="E211" s="2" t="inlineStr">
        <is>
          <t>326330202400001</t>
        </is>
      </c>
      <c r="F211" s="3">
        <f>SUM(G211:J211)</f>
        <v/>
      </c>
      <c r="G211" s="3" t="n">
        <v>41</v>
      </c>
      <c r="H211" s="3" t="n">
        <v>7</v>
      </c>
      <c r="I211" s="3" t="n">
        <v>35</v>
      </c>
      <c r="J211" s="3" t="n">
        <v>0</v>
      </c>
      <c r="K211" s="4">
        <f>G211/F211</f>
        <v/>
      </c>
      <c r="L211" s="4">
        <f>H211/F211</f>
        <v/>
      </c>
      <c r="M211" s="4">
        <f>I211/F211</f>
        <v/>
      </c>
      <c r="N211" s="3" t="n">
        <v>61</v>
      </c>
      <c r="O211" s="3" t="n">
        <v>0</v>
      </c>
      <c r="P211" s="2">
        <f>IF(F211&lt;100,"종료 100마리 미만","")</f>
        <v/>
      </c>
    </row>
    <row r="212">
      <c r="A212" s="2">
        <f>RANK(K212,$K$2:$K$454)</f>
        <v/>
      </c>
      <c r="B212" s="2" t="inlineStr">
        <is>
          <t>서울특별시</t>
        </is>
      </c>
      <c r="C212" s="2" t="inlineStr">
        <is>
          <t>서울특별시 노원구</t>
        </is>
      </c>
      <c r="D212" s="2" t="inlineStr">
        <is>
          <t>한국동물구조관리협회</t>
        </is>
      </c>
      <c r="E212" s="2" t="inlineStr">
        <is>
          <t>311310201000001</t>
        </is>
      </c>
      <c r="F212" s="3">
        <f>SUM(G212:J212)</f>
        <v/>
      </c>
      <c r="G212" s="3" t="n">
        <v>167</v>
      </c>
      <c r="H212" s="3" t="n">
        <v>129</v>
      </c>
      <c r="I212" s="3" t="n">
        <v>31</v>
      </c>
      <c r="J212" s="3" t="n">
        <v>15</v>
      </c>
      <c r="K212" s="4">
        <f>G212/F212</f>
        <v/>
      </c>
      <c r="L212" s="4">
        <f>H212/F212</f>
        <v/>
      </c>
      <c r="M212" s="4">
        <f>I212/F212</f>
        <v/>
      </c>
      <c r="N212" s="3" t="n">
        <v>199</v>
      </c>
      <c r="O212" s="3" t="n">
        <v>0</v>
      </c>
      <c r="P212" s="2">
        <f>IF(F212&lt;100,"종료 100마리 미만","")</f>
        <v/>
      </c>
    </row>
    <row r="213">
      <c r="A213" s="2">
        <f>RANK(K213,$K$2:$K$454)</f>
        <v/>
      </c>
      <c r="B213" s="2" t="inlineStr">
        <is>
          <t>전북특별자치도</t>
        </is>
      </c>
      <c r="C213" s="2" t="inlineStr">
        <is>
          <t>전북특별자치도 정읍시</t>
        </is>
      </c>
      <c r="D213" s="2" t="inlineStr">
        <is>
          <t>정읍시 동물보호소</t>
        </is>
      </c>
      <c r="E213" s="2" t="inlineStr">
        <is>
          <t>345469202000001</t>
        </is>
      </c>
      <c r="F213" s="3">
        <f>SUM(G213:J213)</f>
        <v/>
      </c>
      <c r="G213" s="3" t="n">
        <v>1176</v>
      </c>
      <c r="H213" s="3" t="n">
        <v>467</v>
      </c>
      <c r="I213" s="3" t="n">
        <v>463</v>
      </c>
      <c r="J213" s="3" t="n">
        <v>318</v>
      </c>
      <c r="K213" s="4">
        <f>G213/F213</f>
        <v/>
      </c>
      <c r="L213" s="4">
        <f>H213/F213</f>
        <v/>
      </c>
      <c r="M213" s="4">
        <f>I213/F213</f>
        <v/>
      </c>
      <c r="N213" s="3" t="n">
        <v>164</v>
      </c>
      <c r="O213" s="3" t="n">
        <v>210</v>
      </c>
      <c r="P213" s="2">
        <f>IF(F213&lt;100,"종료 100마리 미만","")</f>
        <v/>
      </c>
    </row>
    <row r="214">
      <c r="A214" s="2">
        <f>RANK(K214,$K$2:$K$454)</f>
        <v/>
      </c>
      <c r="B214" s="2" t="inlineStr">
        <is>
          <t>경기도</t>
        </is>
      </c>
      <c r="C214" s="2" t="inlineStr">
        <is>
          <t>경기도 용인시</t>
        </is>
      </c>
      <c r="D214" s="2" t="inlineStr">
        <is>
          <t>용인시 동물보호센터</t>
        </is>
      </c>
      <c r="E214" s="2" t="inlineStr">
        <is>
          <t>341405201800001</t>
        </is>
      </c>
      <c r="F214" s="3">
        <f>SUM(G214:J214)</f>
        <v/>
      </c>
      <c r="G214" s="3" t="n">
        <v>993</v>
      </c>
      <c r="H214" s="3" t="n">
        <v>175</v>
      </c>
      <c r="I214" s="3" t="n">
        <v>111</v>
      </c>
      <c r="J214" s="3" t="n">
        <v>774</v>
      </c>
      <c r="K214" s="4">
        <f>G214/F214</f>
        <v/>
      </c>
      <c r="L214" s="4">
        <f>H214/F214</f>
        <v/>
      </c>
      <c r="M214" s="4">
        <f>I214/F214</f>
        <v/>
      </c>
      <c r="N214" s="3" t="n">
        <v>473</v>
      </c>
      <c r="O214" s="3" t="n">
        <v>182</v>
      </c>
      <c r="P214" s="2">
        <f>IF(F214&lt;100,"종료 100마리 미만","")</f>
        <v/>
      </c>
    </row>
    <row r="215">
      <c r="A215" s="2">
        <f>RANK(K215,$K$2:$K$454)</f>
        <v/>
      </c>
      <c r="B215" s="2" t="inlineStr">
        <is>
          <t>충청남도</t>
        </is>
      </c>
      <c r="C215" s="2" t="inlineStr">
        <is>
          <t>충청남도 공주시</t>
        </is>
      </c>
      <c r="D215" s="2" t="inlineStr">
        <is>
          <t>공주시 동물보호소</t>
        </is>
      </c>
      <c r="E215" s="2" t="inlineStr">
        <is>
          <t>344450201900001</t>
        </is>
      </c>
      <c r="F215" s="3">
        <f>SUM(G215:J215)</f>
        <v/>
      </c>
      <c r="G215" s="3" t="n">
        <v>200</v>
      </c>
      <c r="H215" s="3" t="n">
        <v>194</v>
      </c>
      <c r="I215" s="3" t="n">
        <v>18</v>
      </c>
      <c r="J215" s="3" t="n">
        <v>2</v>
      </c>
      <c r="K215" s="4">
        <f>G215/F215</f>
        <v/>
      </c>
      <c r="L215" s="4">
        <f>H215/F215</f>
        <v/>
      </c>
      <c r="M215" s="4">
        <f>I215/F215</f>
        <v/>
      </c>
      <c r="N215" s="3" t="n">
        <v>40</v>
      </c>
      <c r="O215" s="3" t="n">
        <v>0</v>
      </c>
      <c r="P215" s="2">
        <f>IF(F215&lt;100,"종료 100마리 미만","")</f>
        <v/>
      </c>
    </row>
    <row r="216">
      <c r="A216" s="2">
        <f>RANK(K216,$K$2:$K$454)</f>
        <v/>
      </c>
      <c r="B216" s="2" t="inlineStr">
        <is>
          <t>울산광역시</t>
        </is>
      </c>
      <c r="C216" s="2" t="inlineStr">
        <is>
          <t>울산광역시 중구</t>
        </is>
      </c>
      <c r="D216" s="2" t="inlineStr">
        <is>
          <t>산타클라라동물병원</t>
        </is>
      </c>
      <c r="E216" s="2" t="inlineStr">
        <is>
          <t>331369201900001</t>
        </is>
      </c>
      <c r="F216" s="3">
        <f>SUM(G216:J216)</f>
        <v/>
      </c>
      <c r="G216" s="3" t="n">
        <v>28</v>
      </c>
      <c r="H216" s="3" t="n">
        <v>0</v>
      </c>
      <c r="I216" s="3" t="n">
        <v>30</v>
      </c>
      <c r="J216" s="3" t="n">
        <v>0</v>
      </c>
      <c r="K216" s="4">
        <f>G216/F216</f>
        <v/>
      </c>
      <c r="L216" s="4">
        <f>H216/F216</f>
        <v/>
      </c>
      <c r="M216" s="4">
        <f>I216/F216</f>
        <v/>
      </c>
      <c r="N216" s="3" t="n">
        <v>84</v>
      </c>
      <c r="O216" s="3" t="n">
        <v>2</v>
      </c>
      <c r="P216" s="2">
        <f>IF(F216&lt;100,"종료 100마리 미만","")</f>
        <v/>
      </c>
    </row>
    <row r="217">
      <c r="A217" s="2">
        <f>RANK(K217,$K$2:$K$454)</f>
        <v/>
      </c>
      <c r="B217" s="2" t="inlineStr">
        <is>
          <t>전남광주통합특별시</t>
        </is>
      </c>
      <c r="C217" s="2" t="inlineStr">
        <is>
          <t>전남광주통합특별시 광산구</t>
        </is>
      </c>
      <c r="D217" s="2" t="inlineStr">
        <is>
          <t>첨단우리동물병원</t>
        </is>
      </c>
      <c r="E217" s="2" t="inlineStr">
        <is>
          <t>329363202300001</t>
        </is>
      </c>
      <c r="F217" s="3">
        <f>SUM(G217:J217)</f>
        <v/>
      </c>
      <c r="G217" s="3" t="n">
        <v>21</v>
      </c>
      <c r="H217" s="3" t="n">
        <v>13</v>
      </c>
      <c r="I217" s="3" t="n">
        <v>9</v>
      </c>
      <c r="J217" s="3" t="n">
        <v>1</v>
      </c>
      <c r="K217" s="4">
        <f>G217/F217</f>
        <v/>
      </c>
      <c r="L217" s="4">
        <f>H217/F217</f>
        <v/>
      </c>
      <c r="M217" s="4">
        <f>I217/F217</f>
        <v/>
      </c>
      <c r="N217" s="3" t="n">
        <v>10</v>
      </c>
      <c r="O217" s="3" t="n">
        <v>1</v>
      </c>
      <c r="P217" s="2">
        <f>IF(F217&lt;100,"종료 100마리 미만","")</f>
        <v/>
      </c>
    </row>
    <row r="218">
      <c r="A218" s="2">
        <f>RANK(K218,$K$2:$K$454)</f>
        <v/>
      </c>
      <c r="B218" s="2" t="inlineStr">
        <is>
          <t>전북특별자치도</t>
        </is>
      </c>
      <c r="C218" s="2" t="inlineStr">
        <is>
          <t>전북특별자치도 진안군</t>
        </is>
      </c>
      <c r="D218" s="2" t="inlineStr">
        <is>
          <t>행복한동물병원</t>
        </is>
      </c>
      <c r="E218" s="2" t="inlineStr">
        <is>
          <t>345473202000002</t>
        </is>
      </c>
      <c r="F218" s="3">
        <f>SUM(G218:J218)</f>
        <v/>
      </c>
      <c r="G218" s="3" t="n">
        <v>82</v>
      </c>
      <c r="H218" s="3" t="n">
        <v>10</v>
      </c>
      <c r="I218" s="3" t="n">
        <v>80</v>
      </c>
      <c r="J218" s="3" t="n">
        <v>0</v>
      </c>
      <c r="K218" s="4">
        <f>G218/F218</f>
        <v/>
      </c>
      <c r="L218" s="4">
        <f>H218/F218</f>
        <v/>
      </c>
      <c r="M218" s="4">
        <f>I218/F218</f>
        <v/>
      </c>
      <c r="N218" s="3" t="n">
        <v>8</v>
      </c>
      <c r="O218" s="3" t="n">
        <v>0</v>
      </c>
      <c r="P218" s="2">
        <f>IF(F218&lt;100,"종료 100마리 미만","")</f>
        <v/>
      </c>
    </row>
    <row r="219">
      <c r="A219" s="2">
        <f>RANK(K219,$K$2:$K$454)</f>
        <v/>
      </c>
      <c r="B219" s="2" t="inlineStr">
        <is>
          <t>강원특별자치도</t>
        </is>
      </c>
      <c r="C219" s="2" t="inlineStr">
        <is>
          <t>강원특별자치도 홍천군</t>
        </is>
      </c>
      <c r="D219" s="2" t="inlineStr">
        <is>
          <t>홍천군유기동물보호소</t>
        </is>
      </c>
      <c r="E219" s="2" t="inlineStr">
        <is>
          <t>342425201400001</t>
        </is>
      </c>
      <c r="F219" s="3">
        <f>SUM(G219:J219)</f>
        <v/>
      </c>
      <c r="G219" s="3" t="n">
        <v>514</v>
      </c>
      <c r="H219" s="3" t="n">
        <v>445</v>
      </c>
      <c r="I219" s="3" t="n">
        <v>121</v>
      </c>
      <c r="J219" s="3" t="n">
        <v>1</v>
      </c>
      <c r="K219" s="4">
        <f>G219/F219</f>
        <v/>
      </c>
      <c r="L219" s="4">
        <f>H219/F219</f>
        <v/>
      </c>
      <c r="M219" s="4">
        <f>I219/F219</f>
        <v/>
      </c>
      <c r="N219" s="3" t="n">
        <v>77</v>
      </c>
      <c r="O219" s="3" t="n">
        <v>28</v>
      </c>
      <c r="P219" s="2">
        <f>IF(F219&lt;100,"종료 100마리 미만","")</f>
        <v/>
      </c>
    </row>
    <row r="220">
      <c r="A220" s="2">
        <f>RANK(K220,$K$2:$K$454)</f>
        <v/>
      </c>
      <c r="B220" s="2" t="inlineStr">
        <is>
          <t>전남광주통합특별시</t>
        </is>
      </c>
      <c r="C220" s="2" t="inlineStr">
        <is>
          <t>전남광주통합특별시 목포시</t>
        </is>
      </c>
      <c r="D220" s="2" t="inlineStr">
        <is>
          <t>목포시유기동물보호소</t>
        </is>
      </c>
      <c r="E220" s="2" t="inlineStr">
        <is>
          <t>346480201000001</t>
        </is>
      </c>
      <c r="F220" s="3">
        <f>SUM(G220:J220)</f>
        <v/>
      </c>
      <c r="G220" s="3" t="n">
        <v>1065</v>
      </c>
      <c r="H220" s="3" t="n">
        <v>304</v>
      </c>
      <c r="I220" s="3" t="n">
        <v>863</v>
      </c>
      <c r="J220" s="3" t="n">
        <v>12</v>
      </c>
      <c r="K220" s="4">
        <f>G220/F220</f>
        <v/>
      </c>
      <c r="L220" s="4">
        <f>H220/F220</f>
        <v/>
      </c>
      <c r="M220" s="4">
        <f>I220/F220</f>
        <v/>
      </c>
      <c r="N220" s="3" t="n">
        <v>811</v>
      </c>
      <c r="O220" s="3" t="n">
        <v>0</v>
      </c>
      <c r="P220" s="2">
        <f>IF(F220&lt;100,"종료 100마리 미만","")</f>
        <v/>
      </c>
    </row>
    <row r="221">
      <c r="A221" s="2">
        <f>RANK(K221,$K$2:$K$454)</f>
        <v/>
      </c>
      <c r="B221" s="2" t="inlineStr">
        <is>
          <t>경기도</t>
        </is>
      </c>
      <c r="C221" s="2" t="inlineStr">
        <is>
          <t>경기도 부천시</t>
        </is>
      </c>
      <c r="D221" s="2" t="inlineStr">
        <is>
          <t>부천시수의사회</t>
        </is>
      </c>
      <c r="E221" s="2" t="inlineStr">
        <is>
          <t>341386201500001</t>
        </is>
      </c>
      <c r="F221" s="3">
        <f>SUM(G221:J221)</f>
        <v/>
      </c>
      <c r="G221" s="3" t="n">
        <v>46</v>
      </c>
      <c r="H221" s="3" t="n">
        <v>10</v>
      </c>
      <c r="I221" s="3" t="n">
        <v>26</v>
      </c>
      <c r="J221" s="3" t="n">
        <v>15</v>
      </c>
      <c r="K221" s="4">
        <f>G221/F221</f>
        <v/>
      </c>
      <c r="L221" s="4">
        <f>H221/F221</f>
        <v/>
      </c>
      <c r="M221" s="4">
        <f>I221/F221</f>
        <v/>
      </c>
      <c r="N221" s="3" t="n">
        <v>62</v>
      </c>
      <c r="O221" s="3" t="n">
        <v>6</v>
      </c>
      <c r="P221" s="2">
        <f>IF(F221&lt;100,"종료 100마리 미만","")</f>
        <v/>
      </c>
    </row>
    <row r="222">
      <c r="A222" s="2">
        <f>RANK(K222,$K$2:$K$454)</f>
        <v/>
      </c>
      <c r="B222" s="2" t="inlineStr">
        <is>
          <t>서울특별시</t>
        </is>
      </c>
      <c r="C222" s="2" t="inlineStr">
        <is>
          <t>서울특별시 중구</t>
        </is>
      </c>
      <c r="D222" s="2" t="inlineStr">
        <is>
          <t>한국동물구조관리협회</t>
        </is>
      </c>
      <c r="E222" s="2" t="inlineStr">
        <is>
          <t>311301201000001</t>
        </is>
      </c>
      <c r="F222" s="3">
        <f>SUM(G222:J222)</f>
        <v/>
      </c>
      <c r="G222" s="3" t="n">
        <v>34</v>
      </c>
      <c r="H222" s="3" t="n">
        <v>27</v>
      </c>
      <c r="I222" s="3" t="n">
        <v>7</v>
      </c>
      <c r="J222" s="3" t="n">
        <v>4</v>
      </c>
      <c r="K222" s="4">
        <f>G222/F222</f>
        <v/>
      </c>
      <c r="L222" s="4">
        <f>H222/F222</f>
        <v/>
      </c>
      <c r="M222" s="4">
        <f>I222/F222</f>
        <v/>
      </c>
      <c r="N222" s="3" t="n">
        <v>88</v>
      </c>
      <c r="O222" s="3" t="n">
        <v>0</v>
      </c>
      <c r="P222" s="2">
        <f>IF(F222&lt;100,"종료 100마리 미만","")</f>
        <v/>
      </c>
    </row>
    <row r="223">
      <c r="A223" s="2">
        <f>RANK(K223,$K$2:$K$454)</f>
        <v/>
      </c>
      <c r="B223" s="2" t="inlineStr">
        <is>
          <t>경상남도</t>
        </is>
      </c>
      <c r="C223" s="2" t="inlineStr">
        <is>
          <t>경상남도 통영시</t>
        </is>
      </c>
      <c r="D223" s="2" t="inlineStr">
        <is>
          <t>사랑애완동물병원</t>
        </is>
      </c>
      <c r="E223" s="2" t="inlineStr">
        <is>
          <t>348533201600001</t>
        </is>
      </c>
      <c r="F223" s="3">
        <f>SUM(G223:J223)</f>
        <v/>
      </c>
      <c r="G223" s="3" t="n">
        <v>87</v>
      </c>
      <c r="H223" s="3" t="n">
        <v>38</v>
      </c>
      <c r="I223" s="3" t="n">
        <v>60</v>
      </c>
      <c r="J223" s="3" t="n">
        <v>0</v>
      </c>
      <c r="K223" s="4">
        <f>G223/F223</f>
        <v/>
      </c>
      <c r="L223" s="4">
        <f>H223/F223</f>
        <v/>
      </c>
      <c r="M223" s="4">
        <f>I223/F223</f>
        <v/>
      </c>
      <c r="N223" s="3" t="n">
        <v>38</v>
      </c>
      <c r="O223" s="3" t="n">
        <v>0</v>
      </c>
      <c r="P223" s="2">
        <f>IF(F223&lt;100,"종료 100마리 미만","")</f>
        <v/>
      </c>
    </row>
    <row r="224">
      <c r="A224" s="2">
        <f>RANK(K224,$K$2:$K$454)</f>
        <v/>
      </c>
      <c r="B224" s="2" t="inlineStr">
        <is>
          <t>충청남도</t>
        </is>
      </c>
      <c r="C224" s="2" t="inlineStr">
        <is>
          <t>충청남도 아산시</t>
        </is>
      </c>
      <c r="D224" s="2" t="inlineStr">
        <is>
          <t>아산동물복지지원센터</t>
        </is>
      </c>
      <c r="E224" s="2" t="inlineStr">
        <is>
          <t>344452202300001</t>
        </is>
      </c>
      <c r="F224" s="3">
        <f>SUM(G224:J224)</f>
        <v/>
      </c>
      <c r="G224" s="3" t="n">
        <v>755</v>
      </c>
      <c r="H224" s="3" t="n">
        <v>203</v>
      </c>
      <c r="I224" s="3" t="n">
        <v>80</v>
      </c>
      <c r="J224" s="3" t="n">
        <v>577</v>
      </c>
      <c r="K224" s="4">
        <f>G224/F224</f>
        <v/>
      </c>
      <c r="L224" s="4">
        <f>H224/F224</f>
        <v/>
      </c>
      <c r="M224" s="4">
        <f>I224/F224</f>
        <v/>
      </c>
      <c r="N224" s="3" t="n">
        <v>449</v>
      </c>
      <c r="O224" s="3" t="n">
        <v>86</v>
      </c>
      <c r="P224" s="2">
        <f>IF(F224&lt;100,"종료 100마리 미만","")</f>
        <v/>
      </c>
    </row>
    <row r="225">
      <c r="A225" s="2">
        <f>RANK(K225,$K$2:$K$454)</f>
        <v/>
      </c>
      <c r="B225" s="2" t="inlineStr">
        <is>
          <t>전북특별자치도</t>
        </is>
      </c>
      <c r="C225" s="2" t="inlineStr">
        <is>
          <t>전북특별자치도 김제시</t>
        </is>
      </c>
      <c r="D225" s="2" t="inlineStr">
        <is>
          <t>전북말산업복합센터</t>
        </is>
      </c>
      <c r="E225" s="2" t="inlineStr">
        <is>
          <t>345471201800002</t>
        </is>
      </c>
      <c r="F225" s="3">
        <f>SUM(G225:J225)</f>
        <v/>
      </c>
      <c r="G225" s="3" t="n">
        <v>1034</v>
      </c>
      <c r="H225" s="3" t="n">
        <v>175</v>
      </c>
      <c r="I225" s="3" t="n">
        <v>657</v>
      </c>
      <c r="J225" s="3" t="n">
        <v>356</v>
      </c>
      <c r="K225" s="4">
        <f>G225/F225</f>
        <v/>
      </c>
      <c r="L225" s="4">
        <f>H225/F225</f>
        <v/>
      </c>
      <c r="M225" s="4">
        <f>I225/F225</f>
        <v/>
      </c>
      <c r="N225" s="3" t="n">
        <v>126</v>
      </c>
      <c r="O225" s="3" t="n">
        <v>115</v>
      </c>
      <c r="P225" s="2">
        <f>IF(F225&lt;100,"종료 100마리 미만","")</f>
        <v/>
      </c>
    </row>
    <row r="226">
      <c r="A226" s="2">
        <f>RANK(K226,$K$2:$K$454)</f>
        <v/>
      </c>
      <c r="B226" s="2" t="inlineStr">
        <is>
          <t>서울특별시</t>
        </is>
      </c>
      <c r="C226" s="2" t="inlineStr">
        <is>
          <t>서울특별시 강북구</t>
        </is>
      </c>
      <c r="D226" s="2" t="inlineStr">
        <is>
          <t>한국동물구조관리협회</t>
        </is>
      </c>
      <c r="E226" s="2" t="inlineStr">
        <is>
          <t>311308201000001</t>
        </is>
      </c>
      <c r="F226" s="3">
        <f>SUM(G226:J226)</f>
        <v/>
      </c>
      <c r="G226" s="3" t="n">
        <v>206</v>
      </c>
      <c r="H226" s="3" t="n">
        <v>162</v>
      </c>
      <c r="I226" s="3" t="n">
        <v>55</v>
      </c>
      <c r="J226" s="3" t="n">
        <v>21</v>
      </c>
      <c r="K226" s="4">
        <f>G226/F226</f>
        <v/>
      </c>
      <c r="L226" s="4">
        <f>H226/F226</f>
        <v/>
      </c>
      <c r="M226" s="4">
        <f>I226/F226</f>
        <v/>
      </c>
      <c r="N226" s="3" t="n">
        <v>274</v>
      </c>
      <c r="O226" s="3" t="n">
        <v>0</v>
      </c>
      <c r="P226" s="2">
        <f>IF(F226&lt;100,"종료 100마리 미만","")</f>
        <v/>
      </c>
    </row>
    <row r="227">
      <c r="A227" s="2">
        <f>RANK(K227,$K$2:$K$454)</f>
        <v/>
      </c>
      <c r="B227" s="2" t="inlineStr">
        <is>
          <t>서울특별시</t>
        </is>
      </c>
      <c r="C227" s="2" t="inlineStr">
        <is>
          <t>서울특별시 성북구</t>
        </is>
      </c>
      <c r="D227" s="2" t="inlineStr">
        <is>
          <t>한국동물구조관리협회</t>
        </is>
      </c>
      <c r="E227" s="2" t="inlineStr">
        <is>
          <t>311307200900001</t>
        </is>
      </c>
      <c r="F227" s="3">
        <f>SUM(G227:J227)</f>
        <v/>
      </c>
      <c r="G227" s="3" t="n">
        <v>153</v>
      </c>
      <c r="H227" s="3" t="n">
        <v>119</v>
      </c>
      <c r="I227" s="3" t="n">
        <v>42</v>
      </c>
      <c r="J227" s="3" t="n">
        <v>17</v>
      </c>
      <c r="K227" s="4">
        <f>G227/F227</f>
        <v/>
      </c>
      <c r="L227" s="4">
        <f>H227/F227</f>
        <v/>
      </c>
      <c r="M227" s="4">
        <f>I227/F227</f>
        <v/>
      </c>
      <c r="N227" s="3" t="n">
        <v>259</v>
      </c>
      <c r="O227" s="3" t="n">
        <v>0</v>
      </c>
      <c r="P227" s="2">
        <f>IF(F227&lt;100,"종료 100마리 미만","")</f>
        <v/>
      </c>
    </row>
    <row r="228">
      <c r="A228" s="2">
        <f>RANK(K228,$K$2:$K$454)</f>
        <v/>
      </c>
      <c r="B228" s="2" t="inlineStr">
        <is>
          <t>인천광역시</t>
        </is>
      </c>
      <c r="C228" s="2" t="inlineStr">
        <is>
          <t>인천광역시 서해구</t>
        </is>
      </c>
      <c r="D228" s="2" t="inlineStr">
        <is>
          <t>우리동물병원</t>
        </is>
      </c>
      <c r="E228" s="2" t="inlineStr">
        <is>
          <t>328356201600005</t>
        </is>
      </c>
      <c r="F228" s="3">
        <f>SUM(G228:J228)</f>
        <v/>
      </c>
      <c r="G228" s="3" t="n">
        <v>621</v>
      </c>
      <c r="H228" s="3" t="n">
        <v>242</v>
      </c>
      <c r="I228" s="3" t="n">
        <v>431</v>
      </c>
      <c r="J228" s="3" t="n">
        <v>56</v>
      </c>
      <c r="K228" s="4">
        <f>G228/F228</f>
        <v/>
      </c>
      <c r="L228" s="4">
        <f>H228/F228</f>
        <v/>
      </c>
      <c r="M228" s="4">
        <f>I228/F228</f>
        <v/>
      </c>
      <c r="N228" s="3" t="n">
        <v>236</v>
      </c>
      <c r="O228" s="3" t="n">
        <v>0</v>
      </c>
      <c r="P228" s="2">
        <f>IF(F228&lt;100,"종료 100마리 미만","")</f>
        <v/>
      </c>
    </row>
    <row r="229">
      <c r="A229" s="2">
        <f>RANK(K229,$K$2:$K$454)</f>
        <v/>
      </c>
      <c r="B229" s="2" t="inlineStr">
        <is>
          <t>경상북도</t>
        </is>
      </c>
      <c r="C229" s="2" t="inlineStr">
        <is>
          <t>경상북도 경주시</t>
        </is>
      </c>
      <c r="D229" s="2" t="inlineStr">
        <is>
          <t>경주동물사랑보호센터</t>
        </is>
      </c>
      <c r="E229" s="2" t="inlineStr">
        <is>
          <t>347505201700001</t>
        </is>
      </c>
      <c r="F229" s="3">
        <f>SUM(G229:J229)</f>
        <v/>
      </c>
      <c r="G229" s="3" t="n">
        <v>1897</v>
      </c>
      <c r="H229" s="3" t="n">
        <v>1755</v>
      </c>
      <c r="I229" s="3" t="n">
        <v>431</v>
      </c>
      <c r="J229" s="3" t="n">
        <v>44</v>
      </c>
      <c r="K229" s="4">
        <f>G229/F229</f>
        <v/>
      </c>
      <c r="L229" s="4">
        <f>H229/F229</f>
        <v/>
      </c>
      <c r="M229" s="4">
        <f>I229/F229</f>
        <v/>
      </c>
      <c r="N229" s="3" t="n">
        <v>588</v>
      </c>
      <c r="O229" s="3" t="n">
        <v>0</v>
      </c>
      <c r="P229" s="2">
        <f>IF(F229&lt;100,"종료 100마리 미만","")</f>
        <v/>
      </c>
    </row>
    <row r="230">
      <c r="A230" s="2">
        <f>RANK(K230,$K$2:$K$454)</f>
        <v/>
      </c>
      <c r="B230" s="2" t="inlineStr">
        <is>
          <t>인천광역시</t>
        </is>
      </c>
      <c r="C230" s="2" t="inlineStr">
        <is>
          <t>인천광역시 남동구</t>
        </is>
      </c>
      <c r="D230" s="2" t="inlineStr">
        <is>
          <t>인천광역시수의사회</t>
        </is>
      </c>
      <c r="E230" s="2" t="inlineStr">
        <is>
          <t>328353200900001</t>
        </is>
      </c>
      <c r="F230" s="3">
        <f>SUM(G230:J230)</f>
        <v/>
      </c>
      <c r="G230" s="3" t="n">
        <v>464</v>
      </c>
      <c r="H230" s="3" t="n">
        <v>113</v>
      </c>
      <c r="I230" s="3" t="n">
        <v>225</v>
      </c>
      <c r="J230" s="3" t="n">
        <v>220</v>
      </c>
      <c r="K230" s="4">
        <f>G230/F230</f>
        <v/>
      </c>
      <c r="L230" s="4">
        <f>H230/F230</f>
        <v/>
      </c>
      <c r="M230" s="4">
        <f>I230/F230</f>
        <v/>
      </c>
      <c r="N230" s="3" t="n">
        <v>558</v>
      </c>
      <c r="O230" s="3" t="n">
        <v>0</v>
      </c>
      <c r="P230" s="2">
        <f>IF(F230&lt;100,"종료 100마리 미만","")</f>
        <v/>
      </c>
    </row>
    <row r="231">
      <c r="A231" s="2">
        <f>RANK(K231,$K$2:$K$454)</f>
        <v/>
      </c>
      <c r="B231" s="2" t="inlineStr">
        <is>
          <t>전북특별자치도</t>
        </is>
      </c>
      <c r="C231" s="2" t="inlineStr">
        <is>
          <t>전북특별자치도 임실군</t>
        </is>
      </c>
      <c r="D231" s="2" t="inlineStr">
        <is>
          <t>임실유기동물보호센터</t>
        </is>
      </c>
      <c r="E231" s="2" t="inlineStr">
        <is>
          <t>345476202100001</t>
        </is>
      </c>
      <c r="F231" s="3">
        <f>SUM(G231:J231)</f>
        <v/>
      </c>
      <c r="G231" s="3" t="n">
        <v>307</v>
      </c>
      <c r="H231" s="3" t="n">
        <v>184</v>
      </c>
      <c r="I231" s="3" t="n">
        <v>193</v>
      </c>
      <c r="J231" s="3" t="n">
        <v>2</v>
      </c>
      <c r="K231" s="4">
        <f>G231/F231</f>
        <v/>
      </c>
      <c r="L231" s="4">
        <f>H231/F231</f>
        <v/>
      </c>
      <c r="M231" s="4">
        <f>I231/F231</f>
        <v/>
      </c>
      <c r="N231" s="3" t="n">
        <v>62</v>
      </c>
      <c r="O231" s="3" t="n">
        <v>49</v>
      </c>
      <c r="P231" s="2">
        <f>IF(F231&lt;100,"종료 100마리 미만","")</f>
        <v/>
      </c>
    </row>
    <row r="232">
      <c r="A232" s="2">
        <f>RANK(K232,$K$2:$K$454)</f>
        <v/>
      </c>
      <c r="B232" s="2" t="inlineStr">
        <is>
          <t>경기도</t>
        </is>
      </c>
      <c r="C232" s="2" t="inlineStr">
        <is>
          <t>경기도 양평군</t>
        </is>
      </c>
      <c r="D232" s="2" t="inlineStr">
        <is>
          <t>양평군유기동물보호소</t>
        </is>
      </c>
      <c r="E232" s="2" t="inlineStr">
        <is>
          <t>341417201800001</t>
        </is>
      </c>
      <c r="F232" s="3">
        <f>SUM(G232:J232)</f>
        <v/>
      </c>
      <c r="G232" s="3" t="n">
        <v>812</v>
      </c>
      <c r="H232" s="3" t="n">
        <v>655</v>
      </c>
      <c r="I232" s="3" t="n">
        <v>201</v>
      </c>
      <c r="J232" s="3" t="n">
        <v>156</v>
      </c>
      <c r="K232" s="4">
        <f>G232/F232</f>
        <v/>
      </c>
      <c r="L232" s="4">
        <f>H232/F232</f>
        <v/>
      </c>
      <c r="M232" s="4">
        <f>I232/F232</f>
        <v/>
      </c>
      <c r="N232" s="3" t="n">
        <v>482</v>
      </c>
      <c r="O232" s="3" t="n">
        <v>22</v>
      </c>
      <c r="P232" s="2">
        <f>IF(F232&lt;100,"종료 100마리 미만","")</f>
        <v/>
      </c>
    </row>
    <row r="233">
      <c r="A233" s="2">
        <f>RANK(K233,$K$2:$K$454)</f>
        <v/>
      </c>
      <c r="B233" s="2" t="inlineStr">
        <is>
          <t>부산광역시</t>
        </is>
      </c>
      <c r="C233" s="2" t="inlineStr">
        <is>
          <t>부산광역시 남구</t>
        </is>
      </c>
      <c r="D233" s="2" t="inlineStr">
        <is>
          <t>(사)동부동물보호협회</t>
        </is>
      </c>
      <c r="E233" s="2" t="inlineStr">
        <is>
          <t>326331201100001</t>
        </is>
      </c>
      <c r="F233" s="3">
        <f>SUM(G233:J233)</f>
        <v/>
      </c>
      <c r="G233" s="3" t="n">
        <v>141</v>
      </c>
      <c r="H233" s="3" t="n">
        <v>29</v>
      </c>
      <c r="I233" s="3" t="n">
        <v>147</v>
      </c>
      <c r="J233" s="3" t="n">
        <v>1</v>
      </c>
      <c r="K233" s="4">
        <f>G233/F233</f>
        <v/>
      </c>
      <c r="L233" s="4">
        <f>H233/F233</f>
        <v/>
      </c>
      <c r="M233" s="4">
        <f>I233/F233</f>
        <v/>
      </c>
      <c r="N233" s="3" t="n">
        <v>210</v>
      </c>
      <c r="O233" s="3" t="n">
        <v>1</v>
      </c>
      <c r="P233" s="2">
        <f>IF(F233&lt;100,"종료 100마리 미만","")</f>
        <v/>
      </c>
    </row>
    <row r="234">
      <c r="A234" s="2">
        <f>RANK(K234,$K$2:$K$454)</f>
        <v/>
      </c>
      <c r="B234" s="2" t="inlineStr">
        <is>
          <t>경기도</t>
        </is>
      </c>
      <c r="C234" s="2" t="inlineStr">
        <is>
          <t>경기도 평택시</t>
        </is>
      </c>
      <c r="D234" s="2" t="inlineStr">
        <is>
          <t>평택시동물보호센터</t>
        </is>
      </c>
      <c r="E234" s="2" t="inlineStr">
        <is>
          <t>341391202500001</t>
        </is>
      </c>
      <c r="F234" s="3">
        <f>SUM(G234:J234)</f>
        <v/>
      </c>
      <c r="G234" s="3" t="n">
        <v>113</v>
      </c>
      <c r="H234" s="3" t="n">
        <v>77</v>
      </c>
      <c r="I234" s="3" t="n">
        <v>34</v>
      </c>
      <c r="J234" s="3" t="n">
        <v>31</v>
      </c>
      <c r="K234" s="4">
        <f>G234/F234</f>
        <v/>
      </c>
      <c r="L234" s="4">
        <f>H234/F234</f>
        <v/>
      </c>
      <c r="M234" s="4">
        <f>I234/F234</f>
        <v/>
      </c>
      <c r="N234" s="3" t="n">
        <v>61</v>
      </c>
      <c r="O234" s="3" t="n">
        <v>12</v>
      </c>
      <c r="P234" s="2">
        <f>IF(F234&lt;100,"종료 100마리 미만","")</f>
        <v/>
      </c>
    </row>
    <row r="235">
      <c r="A235" s="2">
        <f>RANK(K235,$K$2:$K$454)</f>
        <v/>
      </c>
      <c r="B235" s="2" t="inlineStr">
        <is>
          <t>부산광역시</t>
        </is>
      </c>
      <c r="C235" s="2" t="inlineStr">
        <is>
          <t>부산광역시 영도구</t>
        </is>
      </c>
      <c r="D235" s="2" t="inlineStr">
        <is>
          <t>부산동물보호센터</t>
        </is>
      </c>
      <c r="E235" s="2" t="inlineStr">
        <is>
          <t>326328202400002</t>
        </is>
      </c>
      <c r="F235" s="3">
        <f>SUM(G235:J235)</f>
        <v/>
      </c>
      <c r="G235" s="3" t="n">
        <v>27</v>
      </c>
      <c r="H235" s="3" t="n">
        <v>0</v>
      </c>
      <c r="I235" s="3" t="n">
        <v>32</v>
      </c>
      <c r="J235" s="3" t="n">
        <v>2</v>
      </c>
      <c r="K235" s="4">
        <f>G235/F235</f>
        <v/>
      </c>
      <c r="L235" s="4">
        <f>H235/F235</f>
        <v/>
      </c>
      <c r="M235" s="4">
        <f>I235/F235</f>
        <v/>
      </c>
      <c r="N235" s="3" t="n">
        <v>32</v>
      </c>
      <c r="O235" s="3" t="n">
        <v>7</v>
      </c>
      <c r="P235" s="2">
        <f>IF(F235&lt;100,"종료 100마리 미만","")</f>
        <v/>
      </c>
    </row>
    <row r="236">
      <c r="A236" s="2">
        <f>RANK(K236,$K$2:$K$454)</f>
        <v/>
      </c>
      <c r="B236" s="2" t="inlineStr">
        <is>
          <t>전남광주통합특별시</t>
        </is>
      </c>
      <c r="C236" s="2" t="inlineStr">
        <is>
          <t>전남광주통합특별시 남구</t>
        </is>
      </c>
      <c r="D236" s="2" t="inlineStr">
        <is>
          <t>광주동물보호센터</t>
        </is>
      </c>
      <c r="E236" s="2" t="inlineStr">
        <is>
          <t>329361201300001</t>
        </is>
      </c>
      <c r="F236" s="3">
        <f>SUM(G236:J236)</f>
        <v/>
      </c>
      <c r="G236" s="3" t="n">
        <v>240</v>
      </c>
      <c r="H236" s="3" t="n">
        <v>149</v>
      </c>
      <c r="I236" s="3" t="n">
        <v>118</v>
      </c>
      <c r="J236" s="3" t="n">
        <v>47</v>
      </c>
      <c r="K236" s="4">
        <f>G236/F236</f>
        <v/>
      </c>
      <c r="L236" s="4">
        <f>H236/F236</f>
        <v/>
      </c>
      <c r="M236" s="4">
        <f>I236/F236</f>
        <v/>
      </c>
      <c r="N236" s="3" t="n">
        <v>266</v>
      </c>
      <c r="O236" s="3" t="n">
        <v>7</v>
      </c>
      <c r="P236" s="2">
        <f>IF(F236&lt;100,"종료 100마리 미만","")</f>
        <v/>
      </c>
    </row>
    <row r="237">
      <c r="A237" s="2">
        <f>RANK(K237,$K$2:$K$454)</f>
        <v/>
      </c>
      <c r="B237" s="2" t="inlineStr">
        <is>
          <t>전남광주통합특별시</t>
        </is>
      </c>
      <c r="C237" s="2" t="inlineStr">
        <is>
          <t>전남광주통합특별시 서구</t>
        </is>
      </c>
      <c r="D237" s="2" t="inlineStr">
        <is>
          <t>광주동물보호센터</t>
        </is>
      </c>
      <c r="E237" s="2" t="inlineStr">
        <is>
          <t>329360201300001</t>
        </is>
      </c>
      <c r="F237" s="3">
        <f>SUM(G237:J237)</f>
        <v/>
      </c>
      <c r="G237" s="3" t="n">
        <v>276</v>
      </c>
      <c r="H237" s="3" t="n">
        <v>203</v>
      </c>
      <c r="I237" s="3" t="n">
        <v>124</v>
      </c>
      <c r="J237" s="3" t="n">
        <v>39</v>
      </c>
      <c r="K237" s="4">
        <f>G237/F237</f>
        <v/>
      </c>
      <c r="L237" s="4">
        <f>H237/F237</f>
        <v/>
      </c>
      <c r="M237" s="4">
        <f>I237/F237</f>
        <v/>
      </c>
      <c r="N237" s="3" t="n">
        <v>380</v>
      </c>
      <c r="O237" s="3" t="n">
        <v>7</v>
      </c>
      <c r="P237" s="2">
        <f>IF(F237&lt;100,"종료 100마리 미만","")</f>
        <v/>
      </c>
    </row>
    <row r="238">
      <c r="A238" s="2">
        <f>RANK(K238,$K$2:$K$454)</f>
        <v/>
      </c>
      <c r="B238" s="2" t="inlineStr">
        <is>
          <t>부산광역시</t>
        </is>
      </c>
      <c r="C238" s="2" t="inlineStr">
        <is>
          <t>부산광역시 강서구</t>
        </is>
      </c>
      <c r="D238" s="2" t="inlineStr">
        <is>
          <t>부산동물보호센터</t>
        </is>
      </c>
      <c r="E238" s="2" t="inlineStr">
        <is>
          <t>326336202000001</t>
        </is>
      </c>
      <c r="F238" s="3">
        <f>SUM(G238:J238)</f>
        <v/>
      </c>
      <c r="G238" s="3" t="n">
        <v>9</v>
      </c>
      <c r="H238" s="3" t="n">
        <v>0</v>
      </c>
      <c r="I238" s="3" t="n">
        <v>12</v>
      </c>
      <c r="J238" s="3" t="n">
        <v>0</v>
      </c>
      <c r="K238" s="4">
        <f>G238/F238</f>
        <v/>
      </c>
      <c r="L238" s="4">
        <f>H238/F238</f>
        <v/>
      </c>
      <c r="M238" s="4">
        <f>I238/F238</f>
        <v/>
      </c>
      <c r="N238" s="3" t="n">
        <v>1</v>
      </c>
      <c r="O238" s="3" t="n">
        <v>0</v>
      </c>
      <c r="P238" s="2">
        <f>IF(F238&lt;100,"종료 100마리 미만","")</f>
        <v/>
      </c>
    </row>
    <row r="239">
      <c r="A239" s="2">
        <f>RANK(K239,$K$2:$K$454)</f>
        <v/>
      </c>
      <c r="B239" s="2" t="inlineStr">
        <is>
          <t>강원특별자치도</t>
        </is>
      </c>
      <c r="C239" s="2" t="inlineStr">
        <is>
          <t>강원특별자치도 춘천시</t>
        </is>
      </c>
      <c r="D239" s="2" t="inlineStr">
        <is>
          <t>춘천시 동물보호센터</t>
        </is>
      </c>
      <c r="E239" s="2" t="inlineStr">
        <is>
          <t>342418201300001</t>
        </is>
      </c>
      <c r="F239" s="3">
        <f>SUM(G239:J239)</f>
        <v/>
      </c>
      <c r="G239" s="3" t="n">
        <v>653</v>
      </c>
      <c r="H239" s="3" t="n">
        <v>570</v>
      </c>
      <c r="I239" s="3" t="n">
        <v>207</v>
      </c>
      <c r="J239" s="3" t="n">
        <v>114</v>
      </c>
      <c r="K239" s="4">
        <f>G239/F239</f>
        <v/>
      </c>
      <c r="L239" s="4">
        <f>H239/F239</f>
        <v/>
      </c>
      <c r="M239" s="4">
        <f>I239/F239</f>
        <v/>
      </c>
      <c r="N239" s="3" t="n">
        <v>820</v>
      </c>
      <c r="O239" s="3" t="n">
        <v>54</v>
      </c>
      <c r="P239" s="2">
        <f>IF(F239&lt;100,"종료 100마리 미만","")</f>
        <v/>
      </c>
    </row>
    <row r="240">
      <c r="A240" s="2">
        <f>RANK(K240,$K$2:$K$454)</f>
        <v/>
      </c>
      <c r="B240" s="2" t="inlineStr">
        <is>
          <t>전남광주통합특별시</t>
        </is>
      </c>
      <c r="C240" s="2" t="inlineStr">
        <is>
          <t>전남광주통합특별시 북구</t>
        </is>
      </c>
      <c r="D240" s="2" t="inlineStr">
        <is>
          <t>광주동물보호센터</t>
        </is>
      </c>
      <c r="E240" s="2" t="inlineStr">
        <is>
          <t>329362201300001</t>
        </is>
      </c>
      <c r="F240" s="3">
        <f>SUM(G240:J240)</f>
        <v/>
      </c>
      <c r="G240" s="3" t="n">
        <v>554</v>
      </c>
      <c r="H240" s="3" t="n">
        <v>366</v>
      </c>
      <c r="I240" s="3" t="n">
        <v>277</v>
      </c>
      <c r="J240" s="3" t="n">
        <v>113</v>
      </c>
      <c r="K240" s="4">
        <f>G240/F240</f>
        <v/>
      </c>
      <c r="L240" s="4">
        <f>H240/F240</f>
        <v/>
      </c>
      <c r="M240" s="4">
        <f>I240/F240</f>
        <v/>
      </c>
      <c r="N240" s="3" t="n">
        <v>581</v>
      </c>
      <c r="O240" s="3" t="n">
        <v>8</v>
      </c>
      <c r="P240" s="2">
        <f>IF(F240&lt;100,"종료 100마리 미만","")</f>
        <v/>
      </c>
    </row>
    <row r="241">
      <c r="A241" s="2">
        <f>RANK(K241,$K$2:$K$454)</f>
        <v/>
      </c>
      <c r="B241" s="2" t="inlineStr">
        <is>
          <t>전북특별자치도</t>
        </is>
      </c>
      <c r="C241" s="2" t="inlineStr">
        <is>
          <t>전북특별자치도 완주군</t>
        </is>
      </c>
      <c r="D241" s="2" t="inlineStr">
        <is>
          <t>완주군유기동물보호소</t>
        </is>
      </c>
      <c r="E241" s="2" t="inlineStr">
        <is>
          <t>345472202300001</t>
        </is>
      </c>
      <c r="F241" s="3">
        <f>SUM(G241:J241)</f>
        <v/>
      </c>
      <c r="G241" s="3" t="n">
        <v>241</v>
      </c>
      <c r="H241" s="3" t="n">
        <v>11</v>
      </c>
      <c r="I241" s="3" t="n">
        <v>154</v>
      </c>
      <c r="J241" s="3" t="n">
        <v>165</v>
      </c>
      <c r="K241" s="4">
        <f>G241/F241</f>
        <v/>
      </c>
      <c r="L241" s="4">
        <f>H241/F241</f>
        <v/>
      </c>
      <c r="M241" s="4">
        <f>I241/F241</f>
        <v/>
      </c>
      <c r="N241" s="3" t="n">
        <v>64</v>
      </c>
      <c r="O241" s="3" t="n">
        <v>26</v>
      </c>
      <c r="P241" s="2">
        <f>IF(F241&lt;100,"종료 100마리 미만","")</f>
        <v/>
      </c>
    </row>
    <row r="242">
      <c r="A242" s="2">
        <f>RANK(K242,$K$2:$K$454)</f>
        <v/>
      </c>
      <c r="B242" s="2" t="inlineStr">
        <is>
          <t>서울특별시</t>
        </is>
      </c>
      <c r="C242" s="2" t="inlineStr">
        <is>
          <t>서울특별시 서대문구</t>
        </is>
      </c>
      <c r="D242" s="2" t="inlineStr">
        <is>
          <t>한국동물구조관리협회</t>
        </is>
      </c>
      <c r="E242" s="2" t="inlineStr">
        <is>
          <t>311312201100001</t>
        </is>
      </c>
      <c r="F242" s="3">
        <f>SUM(G242:J242)</f>
        <v/>
      </c>
      <c r="G242" s="3" t="n">
        <v>73</v>
      </c>
      <c r="H242" s="3" t="n">
        <v>77</v>
      </c>
      <c r="I242" s="3" t="n">
        <v>14</v>
      </c>
      <c r="J242" s="3" t="n">
        <v>9</v>
      </c>
      <c r="K242" s="4">
        <f>G242/F242</f>
        <v/>
      </c>
      <c r="L242" s="4">
        <f>H242/F242</f>
        <v/>
      </c>
      <c r="M242" s="4">
        <f>I242/F242</f>
        <v/>
      </c>
      <c r="N242" s="3" t="n">
        <v>98</v>
      </c>
      <c r="O242" s="3" t="n">
        <v>0</v>
      </c>
      <c r="P242" s="2">
        <f>IF(F242&lt;100,"종료 100마리 미만","")</f>
        <v/>
      </c>
    </row>
    <row r="243">
      <c r="A243" s="2">
        <f>RANK(K243,$K$2:$K$454)</f>
        <v/>
      </c>
      <c r="B243" s="2" t="inlineStr">
        <is>
          <t>인천광역시</t>
        </is>
      </c>
      <c r="C243" s="2" t="inlineStr">
        <is>
          <t>인천광역시 강화군</t>
        </is>
      </c>
      <c r="D243" s="2" t="inlineStr">
        <is>
          <t>인천수의사회유기동물</t>
        </is>
      </c>
      <c r="E243" s="2" t="inlineStr">
        <is>
          <t>328357202200003</t>
        </is>
      </c>
      <c r="F243" s="3">
        <f>SUM(G243:J243)</f>
        <v/>
      </c>
      <c r="G243" s="3" t="n">
        <v>13</v>
      </c>
      <c r="H243" s="3" t="n">
        <v>10</v>
      </c>
      <c r="I243" s="3" t="n">
        <v>2</v>
      </c>
      <c r="J243" s="3" t="n">
        <v>6</v>
      </c>
      <c r="K243" s="4">
        <f>G243/F243</f>
        <v/>
      </c>
      <c r="L243" s="4">
        <f>H243/F243</f>
        <v/>
      </c>
      <c r="M243" s="4">
        <f>I243/F243</f>
        <v/>
      </c>
      <c r="N243" s="3" t="n">
        <v>0</v>
      </c>
      <c r="O243" s="3" t="n">
        <v>0</v>
      </c>
      <c r="P243" s="2">
        <f>IF(F243&lt;100,"종료 100마리 미만","")</f>
        <v/>
      </c>
    </row>
    <row r="244">
      <c r="A244" s="2">
        <f>RANK(K244,$K$2:$K$454)</f>
        <v/>
      </c>
      <c r="B244" s="2" t="inlineStr">
        <is>
          <t>경상북도</t>
        </is>
      </c>
      <c r="C244" s="2" t="inlineStr">
        <is>
          <t>경상북도 청도군</t>
        </is>
      </c>
      <c r="D244" s="2" t="inlineStr">
        <is>
          <t>청도군동물보호센터</t>
        </is>
      </c>
      <c r="E244" s="2" t="inlineStr">
        <is>
          <t>347519202100001</t>
        </is>
      </c>
      <c r="F244" s="3">
        <f>SUM(G244:J244)</f>
        <v/>
      </c>
      <c r="G244" s="3" t="n">
        <v>644</v>
      </c>
      <c r="H244" s="3" t="n">
        <v>330</v>
      </c>
      <c r="I244" s="3" t="n">
        <v>541</v>
      </c>
      <c r="J244" s="3" t="n">
        <v>22</v>
      </c>
      <c r="K244" s="4">
        <f>G244/F244</f>
        <v/>
      </c>
      <c r="L244" s="4">
        <f>H244/F244</f>
        <v/>
      </c>
      <c r="M244" s="4">
        <f>I244/F244</f>
        <v/>
      </c>
      <c r="N244" s="3" t="n">
        <v>49</v>
      </c>
      <c r="O244" s="3" t="n">
        <v>0</v>
      </c>
      <c r="P244" s="2">
        <f>IF(F244&lt;100,"종료 100마리 미만","")</f>
        <v/>
      </c>
    </row>
    <row r="245">
      <c r="A245" s="2">
        <f>RANK(K245,$K$2:$K$454)</f>
        <v/>
      </c>
      <c r="B245" s="2" t="inlineStr">
        <is>
          <t>충청남도</t>
        </is>
      </c>
      <c r="C245" s="2" t="inlineStr">
        <is>
          <t>충청남도 공주시</t>
        </is>
      </c>
      <c r="D245" s="2" t="inlineStr">
        <is>
          <t>공주시 동물보호센터</t>
        </is>
      </c>
      <c r="E245" s="2" t="inlineStr">
        <is>
          <t>344450202200001</t>
        </is>
      </c>
      <c r="F245" s="3">
        <f>SUM(G245:J245)</f>
        <v/>
      </c>
      <c r="G245" s="3" t="n">
        <v>364</v>
      </c>
      <c r="H245" s="3" t="n">
        <v>114</v>
      </c>
      <c r="I245" s="3" t="n">
        <v>169</v>
      </c>
      <c r="J245" s="3" t="n">
        <v>223</v>
      </c>
      <c r="K245" s="4">
        <f>G245/F245</f>
        <v/>
      </c>
      <c r="L245" s="4">
        <f>H245/F245</f>
        <v/>
      </c>
      <c r="M245" s="4">
        <f>I245/F245</f>
        <v/>
      </c>
      <c r="N245" s="3" t="n">
        <v>124</v>
      </c>
      <c r="O245" s="3" t="n">
        <v>39</v>
      </c>
      <c r="P245" s="2">
        <f>IF(F245&lt;100,"종료 100마리 미만","")</f>
        <v/>
      </c>
    </row>
    <row r="246">
      <c r="A246" s="2">
        <f>RANK(K246,$K$2:$K$454)</f>
        <v/>
      </c>
      <c r="B246" s="2" t="inlineStr">
        <is>
          <t>서울특별시</t>
        </is>
      </c>
      <c r="C246" s="2" t="inlineStr">
        <is>
          <t>서울특별시 금천구</t>
        </is>
      </c>
      <c r="D246" s="2" t="inlineStr">
        <is>
          <t>한국동물구조관리협회</t>
        </is>
      </c>
      <c r="E246" s="2" t="inlineStr">
        <is>
          <t>311317201400001</t>
        </is>
      </c>
      <c r="F246" s="3">
        <f>SUM(G246:J246)</f>
        <v/>
      </c>
      <c r="G246" s="3" t="n">
        <v>120</v>
      </c>
      <c r="H246" s="3" t="n">
        <v>115</v>
      </c>
      <c r="I246" s="3" t="n">
        <v>35</v>
      </c>
      <c r="J246" s="3" t="n">
        <v>20</v>
      </c>
      <c r="K246" s="4">
        <f>G246/F246</f>
        <v/>
      </c>
      <c r="L246" s="4">
        <f>H246/F246</f>
        <v/>
      </c>
      <c r="M246" s="4">
        <f>I246/F246</f>
        <v/>
      </c>
      <c r="N246" s="3" t="n">
        <v>138</v>
      </c>
      <c r="O246" s="3" t="n">
        <v>1</v>
      </c>
      <c r="P246" s="2">
        <f>IF(F246&lt;100,"종료 100마리 미만","")</f>
        <v/>
      </c>
    </row>
    <row r="247">
      <c r="A247" s="2">
        <f>RANK(K247,$K$2:$K$454)</f>
        <v/>
      </c>
      <c r="B247" s="2" t="inlineStr">
        <is>
          <t>충청남도</t>
        </is>
      </c>
      <c r="C247" s="2" t="inlineStr">
        <is>
          <t>충청남도 당진시</t>
        </is>
      </c>
      <c r="D247" s="2" t="inlineStr">
        <is>
          <t>당진시동물보호소</t>
        </is>
      </c>
      <c r="E247" s="2" t="inlineStr">
        <is>
          <t>344568201700001</t>
        </is>
      </c>
      <c r="F247" s="3">
        <f>SUM(G247:J247)</f>
        <v/>
      </c>
      <c r="G247" s="3" t="n">
        <v>1097</v>
      </c>
      <c r="H247" s="3" t="n">
        <v>764</v>
      </c>
      <c r="I247" s="3" t="n">
        <v>761</v>
      </c>
      <c r="J247" s="3" t="n">
        <v>36</v>
      </c>
      <c r="K247" s="4">
        <f>G247/F247</f>
        <v/>
      </c>
      <c r="L247" s="4">
        <f>H247/F247</f>
        <v/>
      </c>
      <c r="M247" s="4">
        <f>I247/F247</f>
        <v/>
      </c>
      <c r="N247" s="3" t="n">
        <v>368</v>
      </c>
      <c r="O247" s="3" t="n">
        <v>9</v>
      </c>
      <c r="P247" s="2">
        <f>IF(F247&lt;100,"종료 100마리 미만","")</f>
        <v/>
      </c>
    </row>
    <row r="248">
      <c r="A248" s="2">
        <f>RANK(K248,$K$2:$K$454)</f>
        <v/>
      </c>
      <c r="B248" s="2" t="inlineStr">
        <is>
          <t>대구광역시</t>
        </is>
      </c>
      <c r="C248" s="2" t="inlineStr">
        <is>
          <t>대구광역시 남구</t>
        </is>
      </c>
      <c r="D248" s="2" t="inlineStr">
        <is>
          <t>대구유기동물보호협회</t>
        </is>
      </c>
      <c r="E248" s="2" t="inlineStr">
        <is>
          <t>327344201600001</t>
        </is>
      </c>
      <c r="F248" s="3">
        <f>SUM(G248:J248)</f>
        <v/>
      </c>
      <c r="G248" s="3" t="n">
        <v>104</v>
      </c>
      <c r="H248" s="3" t="n">
        <v>117</v>
      </c>
      <c r="I248" s="3" t="n">
        <v>31</v>
      </c>
      <c r="J248" s="3" t="n">
        <v>0</v>
      </c>
      <c r="K248" s="4">
        <f>G248/F248</f>
        <v/>
      </c>
      <c r="L248" s="4">
        <f>H248/F248</f>
        <v/>
      </c>
      <c r="M248" s="4">
        <f>I248/F248</f>
        <v/>
      </c>
      <c r="N248" s="3" t="n">
        <v>208</v>
      </c>
      <c r="O248" s="3" t="n">
        <v>1</v>
      </c>
      <c r="P248" s="2">
        <f>IF(F248&lt;100,"종료 100마리 미만","")</f>
        <v/>
      </c>
    </row>
    <row r="249">
      <c r="A249" s="2">
        <f>RANK(K249,$K$2:$K$454)</f>
        <v/>
      </c>
      <c r="B249" s="2" t="inlineStr">
        <is>
          <t>대구광역시</t>
        </is>
      </c>
      <c r="C249" s="2" t="inlineStr">
        <is>
          <t>대구광역시 달성군</t>
        </is>
      </c>
      <c r="D249" s="2" t="inlineStr">
        <is>
          <t>화원연합동물병원</t>
        </is>
      </c>
      <c r="E249" s="2" t="inlineStr">
        <is>
          <t>327348201500004</t>
        </is>
      </c>
      <c r="F249" s="3">
        <f>SUM(G249:J249)</f>
        <v/>
      </c>
      <c r="G249" s="3" t="n">
        <v>178</v>
      </c>
      <c r="H249" s="3" t="n">
        <v>142</v>
      </c>
      <c r="I249" s="3" t="n">
        <v>115</v>
      </c>
      <c r="J249" s="3" t="n">
        <v>0</v>
      </c>
      <c r="K249" s="4">
        <f>G249/F249</f>
        <v/>
      </c>
      <c r="L249" s="4">
        <f>H249/F249</f>
        <v/>
      </c>
      <c r="M249" s="4">
        <f>I249/F249</f>
        <v/>
      </c>
      <c r="N249" s="3" t="n">
        <v>100</v>
      </c>
      <c r="O249" s="3" t="n">
        <v>0</v>
      </c>
      <c r="P249" s="2">
        <f>IF(F249&lt;100,"종료 100마리 미만","")</f>
        <v/>
      </c>
    </row>
    <row r="250">
      <c r="A250" s="2">
        <f>RANK(K250,$K$2:$K$454)</f>
        <v/>
      </c>
      <c r="B250" s="2" t="inlineStr">
        <is>
          <t>부산광역시</t>
        </is>
      </c>
      <c r="C250" s="2" t="inlineStr">
        <is>
          <t>부산광역시 연제구</t>
        </is>
      </c>
      <c r="D250" s="2" t="inlineStr">
        <is>
          <t>청조동물병원</t>
        </is>
      </c>
      <c r="E250" s="2" t="inlineStr">
        <is>
          <t>326337201300001</t>
        </is>
      </c>
      <c r="F250" s="3">
        <f>SUM(G250:J250)</f>
        <v/>
      </c>
      <c r="G250" s="3" t="n">
        <v>110</v>
      </c>
      <c r="H250" s="3" t="n">
        <v>30</v>
      </c>
      <c r="I250" s="3" t="n">
        <v>129</v>
      </c>
      <c r="J250" s="3" t="n">
        <v>0</v>
      </c>
      <c r="K250" s="4">
        <f>G250/F250</f>
        <v/>
      </c>
      <c r="L250" s="4">
        <f>H250/F250</f>
        <v/>
      </c>
      <c r="M250" s="4">
        <f>I250/F250</f>
        <v/>
      </c>
      <c r="N250" s="3" t="n">
        <v>202</v>
      </c>
      <c r="O250" s="3" t="n">
        <v>0</v>
      </c>
      <c r="P250" s="2">
        <f>IF(F250&lt;100,"종료 100마리 미만","")</f>
        <v/>
      </c>
    </row>
    <row r="251">
      <c r="A251" s="2">
        <f>RANK(K251,$K$2:$K$454)</f>
        <v/>
      </c>
      <c r="B251" s="2" t="inlineStr">
        <is>
          <t>충청남도</t>
        </is>
      </c>
      <c r="C251" s="2" t="inlineStr">
        <is>
          <t>충청남도 계룡시</t>
        </is>
      </c>
      <c r="D251" s="2" t="inlineStr">
        <is>
          <t>계룡시유기동물보호소</t>
        </is>
      </c>
      <c r="E251" s="2" t="inlineStr">
        <is>
          <t>344558201300001</t>
        </is>
      </c>
      <c r="F251" s="3">
        <f>SUM(G251:J251)</f>
        <v/>
      </c>
      <c r="G251" s="3" t="n">
        <v>44</v>
      </c>
      <c r="H251" s="3" t="n">
        <v>42</v>
      </c>
      <c r="I251" s="3" t="n">
        <v>22</v>
      </c>
      <c r="J251" s="3" t="n">
        <v>0</v>
      </c>
      <c r="K251" s="4">
        <f>G251/F251</f>
        <v/>
      </c>
      <c r="L251" s="4">
        <f>H251/F251</f>
        <v/>
      </c>
      <c r="M251" s="4">
        <f>I251/F251</f>
        <v/>
      </c>
      <c r="N251" s="3" t="n">
        <v>22</v>
      </c>
      <c r="O251" s="3" t="n">
        <v>0</v>
      </c>
      <c r="P251" s="2">
        <f>IF(F251&lt;100,"종료 100마리 미만","")</f>
        <v/>
      </c>
    </row>
    <row r="252">
      <c r="A252" s="2">
        <f>RANK(K252,$K$2:$K$454)</f>
        <v/>
      </c>
      <c r="B252" s="2" t="inlineStr">
        <is>
          <t>경상북도</t>
        </is>
      </c>
      <c r="C252" s="2" t="inlineStr">
        <is>
          <t>경상북도 예천군</t>
        </is>
      </c>
      <c r="D252" s="2" t="inlineStr">
        <is>
          <t>예천군유기동물보호소</t>
        </is>
      </c>
      <c r="E252" s="2" t="inlineStr">
        <is>
          <t>347523201200001</t>
        </is>
      </c>
      <c r="F252" s="3">
        <f>SUM(G252:J252)</f>
        <v/>
      </c>
      <c r="G252" s="3" t="n">
        <v>523</v>
      </c>
      <c r="H252" s="3" t="n">
        <v>562</v>
      </c>
      <c r="I252" s="3" t="n">
        <v>197</v>
      </c>
      <c r="J252" s="3" t="n">
        <v>3</v>
      </c>
      <c r="K252" s="4">
        <f>G252/F252</f>
        <v/>
      </c>
      <c r="L252" s="4">
        <f>H252/F252</f>
        <v/>
      </c>
      <c r="M252" s="4">
        <f>I252/F252</f>
        <v/>
      </c>
      <c r="N252" s="3" t="n">
        <v>115</v>
      </c>
      <c r="O252" s="3" t="n">
        <v>0</v>
      </c>
      <c r="P252" s="2">
        <f>IF(F252&lt;100,"종료 100마리 미만","")</f>
        <v/>
      </c>
    </row>
    <row r="253">
      <c r="A253" s="2">
        <f>RANK(K253,$K$2:$K$454)</f>
        <v/>
      </c>
      <c r="B253" s="2" t="inlineStr">
        <is>
          <t>전북특별자치도</t>
        </is>
      </c>
      <c r="C253" s="2" t="inlineStr">
        <is>
          <t>전북특별자치도 전주시</t>
        </is>
      </c>
      <c r="D253" s="2" t="inlineStr">
        <is>
          <t>수동물병원</t>
        </is>
      </c>
      <c r="E253" s="2" t="inlineStr">
        <is>
          <t>345464201100008</t>
        </is>
      </c>
      <c r="F253" s="3">
        <f>SUM(G253:J253)</f>
        <v/>
      </c>
      <c r="G253" s="3" t="n">
        <v>17</v>
      </c>
      <c r="H253" s="3" t="n">
        <v>15</v>
      </c>
      <c r="I253" s="3" t="n">
        <v>10</v>
      </c>
      <c r="J253" s="3" t="n">
        <v>0</v>
      </c>
      <c r="K253" s="4">
        <f>G253/F253</f>
        <v/>
      </c>
      <c r="L253" s="4">
        <f>H253/F253</f>
        <v/>
      </c>
      <c r="M253" s="4">
        <f>I253/F253</f>
        <v/>
      </c>
      <c r="N253" s="3" t="n">
        <v>7</v>
      </c>
      <c r="O253" s="3" t="n">
        <v>0</v>
      </c>
      <c r="P253" s="2">
        <f>IF(F253&lt;100,"종료 100마리 미만","")</f>
        <v/>
      </c>
    </row>
    <row r="254">
      <c r="A254" s="2">
        <f>RANK(K254,$K$2:$K$454)</f>
        <v/>
      </c>
      <c r="B254" s="2" t="inlineStr">
        <is>
          <t>전남광주통합특별시</t>
        </is>
      </c>
      <c r="C254" s="2" t="inlineStr">
        <is>
          <t>전남광주통합특별시 광산구</t>
        </is>
      </c>
      <c r="D254" s="2" t="inlineStr">
        <is>
          <t>광주동물보호센터</t>
        </is>
      </c>
      <c r="E254" s="2" t="inlineStr">
        <is>
          <t>329363201300001</t>
        </is>
      </c>
      <c r="F254" s="3">
        <f>SUM(G254:J254)</f>
        <v/>
      </c>
      <c r="G254" s="3" t="n">
        <v>626</v>
      </c>
      <c r="H254" s="3" t="n">
        <v>490</v>
      </c>
      <c r="I254" s="3" t="n">
        <v>358</v>
      </c>
      <c r="J254" s="3" t="n">
        <v>73</v>
      </c>
      <c r="K254" s="4">
        <f>G254/F254</f>
        <v/>
      </c>
      <c r="L254" s="4">
        <f>H254/F254</f>
        <v/>
      </c>
      <c r="M254" s="4">
        <f>I254/F254</f>
        <v/>
      </c>
      <c r="N254" s="3" t="n">
        <v>514</v>
      </c>
      <c r="O254" s="3" t="n">
        <v>25</v>
      </c>
      <c r="P254" s="2">
        <f>IF(F254&lt;100,"종료 100마리 미만","")</f>
        <v/>
      </c>
    </row>
    <row r="255">
      <c r="A255" s="2">
        <f>RANK(K255,$K$2:$K$454)</f>
        <v/>
      </c>
      <c r="B255" s="2" t="inlineStr">
        <is>
          <t>서울특별시</t>
        </is>
      </c>
      <c r="C255" s="2" t="inlineStr">
        <is>
          <t>서울특별시 은평구</t>
        </is>
      </c>
      <c r="D255" s="2" t="inlineStr">
        <is>
          <t>한국동물구조관리협회</t>
        </is>
      </c>
      <c r="E255" s="2" t="inlineStr">
        <is>
          <t>311311201100001</t>
        </is>
      </c>
      <c r="F255" s="3">
        <f>SUM(G255:J255)</f>
        <v/>
      </c>
      <c r="G255" s="3" t="n">
        <v>181</v>
      </c>
      <c r="H255" s="3" t="n">
        <v>210</v>
      </c>
      <c r="I255" s="3" t="n">
        <v>44</v>
      </c>
      <c r="J255" s="3" t="n">
        <v>16</v>
      </c>
      <c r="K255" s="4">
        <f>G255/F255</f>
        <v/>
      </c>
      <c r="L255" s="4">
        <f>H255/F255</f>
        <v/>
      </c>
      <c r="M255" s="4">
        <f>I255/F255</f>
        <v/>
      </c>
      <c r="N255" s="3" t="n">
        <v>233</v>
      </c>
      <c r="O255" s="3" t="n">
        <v>1</v>
      </c>
      <c r="P255" s="2">
        <f>IF(F255&lt;100,"종료 100마리 미만","")</f>
        <v/>
      </c>
    </row>
    <row r="256">
      <c r="A256" s="2">
        <f>RANK(K256,$K$2:$K$454)</f>
        <v/>
      </c>
      <c r="B256" s="2" t="inlineStr">
        <is>
          <t>대구광역시</t>
        </is>
      </c>
      <c r="C256" s="2" t="inlineStr">
        <is>
          <t>대구광역시 달성군</t>
        </is>
      </c>
      <c r="D256" s="2" t="inlineStr">
        <is>
          <t>동인동물병원</t>
        </is>
      </c>
      <c r="E256" s="2" t="inlineStr">
        <is>
          <t>327348201700001</t>
        </is>
      </c>
      <c r="F256" s="3">
        <f>SUM(G256:J256)</f>
        <v/>
      </c>
      <c r="G256" s="3" t="n">
        <v>59</v>
      </c>
      <c r="H256" s="3" t="n">
        <v>78</v>
      </c>
      <c r="I256" s="3" t="n">
        <v>11</v>
      </c>
      <c r="J256" s="3" t="n">
        <v>0</v>
      </c>
      <c r="K256" s="4">
        <f>G256/F256</f>
        <v/>
      </c>
      <c r="L256" s="4">
        <f>H256/F256</f>
        <v/>
      </c>
      <c r="M256" s="4">
        <f>I256/F256</f>
        <v/>
      </c>
      <c r="N256" s="3" t="n">
        <v>30</v>
      </c>
      <c r="O256" s="3" t="n">
        <v>0</v>
      </c>
      <c r="P256" s="2">
        <f>IF(F256&lt;100,"종료 100마리 미만","")</f>
        <v/>
      </c>
    </row>
    <row r="257">
      <c r="A257" s="2">
        <f>RANK(K257,$K$2:$K$454)</f>
        <v/>
      </c>
      <c r="B257" s="2" t="inlineStr">
        <is>
          <t>부산광역시</t>
        </is>
      </c>
      <c r="C257" s="2" t="inlineStr">
        <is>
          <t>부산광역시 금정구</t>
        </is>
      </c>
      <c r="D257" s="2" t="inlineStr">
        <is>
          <t>동부동물보호협회</t>
        </is>
      </c>
      <c r="E257" s="2" t="inlineStr">
        <is>
          <t>326335201700001</t>
        </is>
      </c>
      <c r="F257" s="3">
        <f>SUM(G257:J257)</f>
        <v/>
      </c>
      <c r="G257" s="3" t="n">
        <v>254</v>
      </c>
      <c r="H257" s="3" t="n">
        <v>78</v>
      </c>
      <c r="I257" s="3" t="n">
        <v>306</v>
      </c>
      <c r="J257" s="3" t="n">
        <v>0</v>
      </c>
      <c r="K257" s="4">
        <f>G257/F257</f>
        <v/>
      </c>
      <c r="L257" s="4">
        <f>H257/F257</f>
        <v/>
      </c>
      <c r="M257" s="4">
        <f>I257/F257</f>
        <v/>
      </c>
      <c r="N257" s="3" t="n">
        <v>172</v>
      </c>
      <c r="O257" s="3" t="n">
        <v>2</v>
      </c>
      <c r="P257" s="2">
        <f>IF(F257&lt;100,"종료 100마리 미만","")</f>
        <v/>
      </c>
    </row>
    <row r="258">
      <c r="A258" s="2">
        <f>RANK(K258,$K$2:$K$454)</f>
        <v/>
      </c>
      <c r="B258" s="2" t="inlineStr">
        <is>
          <t>경기도</t>
        </is>
      </c>
      <c r="C258" s="2" t="inlineStr">
        <is>
          <t>경기도 시흥시</t>
        </is>
      </c>
      <c r="D258" s="2" t="inlineStr">
        <is>
          <t>시흥동물누리보호센터</t>
        </is>
      </c>
      <c r="E258" s="2" t="inlineStr">
        <is>
          <t>341401202200001</t>
        </is>
      </c>
      <c r="F258" s="3">
        <f>SUM(G258:J258)</f>
        <v/>
      </c>
      <c r="G258" s="3" t="n">
        <v>594</v>
      </c>
      <c r="H258" s="3" t="n">
        <v>557</v>
      </c>
      <c r="I258" s="3" t="n">
        <v>47</v>
      </c>
      <c r="J258" s="3" t="n">
        <v>298</v>
      </c>
      <c r="K258" s="4">
        <f>G258/F258</f>
        <v/>
      </c>
      <c r="L258" s="4">
        <f>H258/F258</f>
        <v/>
      </c>
      <c r="M258" s="4">
        <f>I258/F258</f>
        <v/>
      </c>
      <c r="N258" s="3" t="n">
        <v>556</v>
      </c>
      <c r="O258" s="3" t="n">
        <v>21</v>
      </c>
      <c r="P258" s="2">
        <f>IF(F258&lt;100,"종료 100마리 미만","")</f>
        <v/>
      </c>
    </row>
    <row r="259">
      <c r="A259" s="2">
        <f>RANK(K259,$K$2:$K$454)</f>
        <v/>
      </c>
      <c r="B259" s="2" t="inlineStr">
        <is>
          <t>서울특별시</t>
        </is>
      </c>
      <c r="C259" s="2" t="inlineStr">
        <is>
          <t>서울특별시 관악구</t>
        </is>
      </c>
      <c r="D259" s="2" t="inlineStr">
        <is>
          <t>강현림동물병원</t>
        </is>
      </c>
      <c r="E259" s="2" t="inlineStr">
        <is>
          <t>311320202100002</t>
        </is>
      </c>
      <c r="F259" s="3">
        <f>SUM(G259:J259)</f>
        <v/>
      </c>
      <c r="G259" s="3" t="n">
        <v>134</v>
      </c>
      <c r="H259" s="3" t="n">
        <v>115</v>
      </c>
      <c r="I259" s="3" t="n">
        <v>80</v>
      </c>
      <c r="J259" s="3" t="n">
        <v>10</v>
      </c>
      <c r="K259" s="4">
        <f>G259/F259</f>
        <v/>
      </c>
      <c r="L259" s="4">
        <f>H259/F259</f>
        <v/>
      </c>
      <c r="M259" s="4">
        <f>I259/F259</f>
        <v/>
      </c>
      <c r="N259" s="3" t="n">
        <v>227</v>
      </c>
      <c r="O259" s="3" t="n">
        <v>1</v>
      </c>
      <c r="P259" s="2">
        <f>IF(F259&lt;100,"종료 100마리 미만","")</f>
        <v/>
      </c>
    </row>
    <row r="260">
      <c r="A260" s="2">
        <f>RANK(K260,$K$2:$K$454)</f>
        <v/>
      </c>
      <c r="B260" s="2" t="inlineStr">
        <is>
          <t>전북특별자치도</t>
        </is>
      </c>
      <c r="C260" s="2" t="inlineStr">
        <is>
          <t>전북특별자치도 군산시</t>
        </is>
      </c>
      <c r="D260" s="2" t="inlineStr">
        <is>
          <t>군산유기동물보호센터</t>
        </is>
      </c>
      <c r="E260" s="2" t="inlineStr">
        <is>
          <t>345467201000001</t>
        </is>
      </c>
      <c r="F260" s="3">
        <f>SUM(G260:J260)</f>
        <v/>
      </c>
      <c r="G260" s="3" t="n">
        <v>1457</v>
      </c>
      <c r="H260" s="3" t="n">
        <v>1210</v>
      </c>
      <c r="I260" s="3" t="n">
        <v>1026</v>
      </c>
      <c r="J260" s="3" t="n">
        <v>38</v>
      </c>
      <c r="K260" s="4">
        <f>G260/F260</f>
        <v/>
      </c>
      <c r="L260" s="4">
        <f>H260/F260</f>
        <v/>
      </c>
      <c r="M260" s="4">
        <f>I260/F260</f>
        <v/>
      </c>
      <c r="N260" s="3" t="n">
        <v>494</v>
      </c>
      <c r="O260" s="3" t="n">
        <v>96</v>
      </c>
      <c r="P260" s="2">
        <f>IF(F260&lt;100,"종료 100마리 미만","")</f>
        <v/>
      </c>
    </row>
    <row r="261">
      <c r="A261" s="2">
        <f>RANK(K261,$K$2:$K$454)</f>
        <v/>
      </c>
      <c r="B261" s="2" t="inlineStr">
        <is>
          <t>부산광역시</t>
        </is>
      </c>
      <c r="C261" s="2" t="inlineStr">
        <is>
          <t>부산광역시 중구</t>
        </is>
      </c>
      <c r="D261" s="2" t="inlineStr">
        <is>
          <t>부산동물보호센터</t>
        </is>
      </c>
      <c r="E261" s="2" t="inlineStr">
        <is>
          <t>326325201300001</t>
        </is>
      </c>
      <c r="F261" s="3">
        <f>SUM(G261:J261)</f>
        <v/>
      </c>
      <c r="G261" s="3" t="n">
        <v>133</v>
      </c>
      <c r="H261" s="3" t="n">
        <v>1</v>
      </c>
      <c r="I261" s="3" t="n">
        <v>205</v>
      </c>
      <c r="J261" s="3" t="n">
        <v>2</v>
      </c>
      <c r="K261" s="4">
        <f>G261/F261</f>
        <v/>
      </c>
      <c r="L261" s="4">
        <f>H261/F261</f>
        <v/>
      </c>
      <c r="M261" s="4">
        <f>I261/F261</f>
        <v/>
      </c>
      <c r="N261" s="3" t="n">
        <v>41</v>
      </c>
      <c r="O261" s="3" t="n">
        <v>6</v>
      </c>
      <c r="P261" s="2">
        <f>IF(F261&lt;100,"종료 100마리 미만","")</f>
        <v/>
      </c>
    </row>
    <row r="262">
      <c r="A262" s="2">
        <f>RANK(K262,$K$2:$K$454)</f>
        <v/>
      </c>
      <c r="B262" s="2" t="inlineStr">
        <is>
          <t>강원특별자치도</t>
        </is>
      </c>
      <c r="C262" s="2" t="inlineStr">
        <is>
          <t>강원특별자치도 동해시</t>
        </is>
      </c>
      <c r="D262" s="2" t="inlineStr">
        <is>
          <t>동해시동물보호센터</t>
        </is>
      </c>
      <c r="E262" s="2" t="inlineStr">
        <is>
          <t>342421201000001</t>
        </is>
      </c>
      <c r="F262" s="3">
        <f>SUM(G262:J262)</f>
        <v/>
      </c>
      <c r="G262" s="3" t="n">
        <v>277</v>
      </c>
      <c r="H262" s="3" t="n">
        <v>362</v>
      </c>
      <c r="I262" s="3" t="n">
        <v>75</v>
      </c>
      <c r="J262" s="3" t="n">
        <v>0</v>
      </c>
      <c r="K262" s="4">
        <f>G262/F262</f>
        <v/>
      </c>
      <c r="L262" s="4">
        <f>H262/F262</f>
        <v/>
      </c>
      <c r="M262" s="4">
        <f>I262/F262</f>
        <v/>
      </c>
      <c r="N262" s="3" t="n">
        <v>221</v>
      </c>
      <c r="O262" s="3" t="n">
        <v>43</v>
      </c>
      <c r="P262" s="2">
        <f>IF(F262&lt;100,"종료 100마리 미만","")</f>
        <v/>
      </c>
    </row>
    <row r="263">
      <c r="A263" s="2">
        <f>RANK(K263,$K$2:$K$454)</f>
        <v/>
      </c>
      <c r="B263" s="2" t="inlineStr">
        <is>
          <t>충청남도</t>
        </is>
      </c>
      <c r="C263" s="2" t="inlineStr">
        <is>
          <t>충청남도 천안시</t>
        </is>
      </c>
      <c r="D263" s="2" t="inlineStr">
        <is>
          <t>천안시 동물보호센터</t>
        </is>
      </c>
      <c r="E263" s="2" t="inlineStr">
        <is>
          <t>344449202100001</t>
        </is>
      </c>
      <c r="F263" s="3">
        <f>SUM(G263:J263)</f>
        <v/>
      </c>
      <c r="G263" s="3" t="n">
        <v>1169</v>
      </c>
      <c r="H263" s="3" t="n">
        <v>1235</v>
      </c>
      <c r="I263" s="3" t="n">
        <v>452</v>
      </c>
      <c r="J263" s="3" t="n">
        <v>173</v>
      </c>
      <c r="K263" s="4">
        <f>G263/F263</f>
        <v/>
      </c>
      <c r="L263" s="4">
        <f>H263/F263</f>
        <v/>
      </c>
      <c r="M263" s="4">
        <f>I263/F263</f>
        <v/>
      </c>
      <c r="N263" s="3" t="n">
        <v>958</v>
      </c>
      <c r="O263" s="3" t="n">
        <v>37</v>
      </c>
      <c r="P263" s="2">
        <f>IF(F263&lt;100,"종료 100마리 미만","")</f>
        <v/>
      </c>
    </row>
    <row r="264">
      <c r="A264" s="2">
        <f>RANK(K264,$K$2:$K$454)</f>
        <v/>
      </c>
      <c r="B264" s="2" t="inlineStr">
        <is>
          <t>전북특별자치도</t>
        </is>
      </c>
      <c r="C264" s="2" t="inlineStr">
        <is>
          <t>전북특별자치도 진안군</t>
        </is>
      </c>
      <c r="D264" s="2" t="inlineStr">
        <is>
          <t>팜그린동물약품병원</t>
        </is>
      </c>
      <c r="E264" s="2" t="inlineStr">
        <is>
          <t>345473202200001</t>
        </is>
      </c>
      <c r="F264" s="3">
        <f>SUM(G264:J264)</f>
        <v/>
      </c>
      <c r="G264" s="3" t="n">
        <v>53</v>
      </c>
      <c r="H264" s="3" t="n">
        <v>30</v>
      </c>
      <c r="I264" s="3" t="n">
        <v>55</v>
      </c>
      <c r="J264" s="3" t="n">
        <v>0</v>
      </c>
      <c r="K264" s="4">
        <f>G264/F264</f>
        <v/>
      </c>
      <c r="L264" s="4">
        <f>H264/F264</f>
        <v/>
      </c>
      <c r="M264" s="4">
        <f>I264/F264</f>
        <v/>
      </c>
      <c r="N264" s="3" t="n">
        <v>7</v>
      </c>
      <c r="O264" s="3" t="n">
        <v>0</v>
      </c>
      <c r="P264" s="2">
        <f>IF(F264&lt;100,"종료 100마리 미만","")</f>
        <v/>
      </c>
    </row>
    <row r="265">
      <c r="A265" s="2">
        <f>RANK(K265,$K$2:$K$454)</f>
        <v/>
      </c>
      <c r="B265" s="2" t="inlineStr">
        <is>
          <t>강원특별자치도</t>
        </is>
      </c>
      <c r="C265" s="2" t="inlineStr">
        <is>
          <t>강원특별자치도 삼척시</t>
        </is>
      </c>
      <c r="D265" s="2" t="inlineStr">
        <is>
          <t>삼척시동물보호센터</t>
        </is>
      </c>
      <c r="E265" s="2" t="inlineStr">
        <is>
          <t>342424201300001</t>
        </is>
      </c>
      <c r="F265" s="3">
        <f>SUM(G265:J265)</f>
        <v/>
      </c>
      <c r="G265" s="3" t="n">
        <v>308</v>
      </c>
      <c r="H265" s="3" t="n">
        <v>409</v>
      </c>
      <c r="I265" s="3" t="n">
        <v>80</v>
      </c>
      <c r="J265" s="3" t="n">
        <v>8</v>
      </c>
      <c r="K265" s="4">
        <f>G265/F265</f>
        <v/>
      </c>
      <c r="L265" s="4">
        <f>H265/F265</f>
        <v/>
      </c>
      <c r="M265" s="4">
        <f>I265/F265</f>
        <v/>
      </c>
      <c r="N265" s="3" t="n">
        <v>75</v>
      </c>
      <c r="O265" s="3" t="n">
        <v>25</v>
      </c>
      <c r="P265" s="2">
        <f>IF(F265&lt;100,"종료 100마리 미만","")</f>
        <v/>
      </c>
    </row>
    <row r="266">
      <c r="A266" s="2">
        <f>RANK(K266,$K$2:$K$454)</f>
        <v/>
      </c>
      <c r="B266" s="2" t="inlineStr">
        <is>
          <t>충청남도</t>
        </is>
      </c>
      <c r="C266" s="2" t="inlineStr">
        <is>
          <t>충청남도 계룡시</t>
        </is>
      </c>
      <c r="D266" s="2" t="inlineStr">
        <is>
          <t>주동물병원</t>
        </is>
      </c>
      <c r="E266" s="2" t="inlineStr">
        <is>
          <t>344558202400001</t>
        </is>
      </c>
      <c r="F266" s="3">
        <f>SUM(G266:J266)</f>
        <v/>
      </c>
      <c r="G266" s="3" t="n">
        <v>24</v>
      </c>
      <c r="H266" s="3" t="n">
        <v>35</v>
      </c>
      <c r="I266" s="3" t="n">
        <v>4</v>
      </c>
      <c r="J266" s="3" t="n">
        <v>0</v>
      </c>
      <c r="K266" s="4">
        <f>G266/F266</f>
        <v/>
      </c>
      <c r="L266" s="4">
        <f>H266/F266</f>
        <v/>
      </c>
      <c r="M266" s="4">
        <f>I266/F266</f>
        <v/>
      </c>
      <c r="N266" s="3" t="n">
        <v>13</v>
      </c>
      <c r="O266" s="3" t="n">
        <v>0</v>
      </c>
      <c r="P266" s="2">
        <f>IF(F266&lt;100,"종료 100마리 미만","")</f>
        <v/>
      </c>
    </row>
    <row r="267">
      <c r="A267" s="2">
        <f>RANK(K267,$K$2:$K$454)</f>
        <v/>
      </c>
      <c r="B267" s="2" t="inlineStr">
        <is>
          <t>전남광주통합특별시</t>
        </is>
      </c>
      <c r="C267" s="2" t="inlineStr">
        <is>
          <t>전남광주통합특별시 담양군</t>
        </is>
      </c>
      <c r="D267" s="2" t="inlineStr">
        <is>
          <t>담양군 동물보호센터</t>
        </is>
      </c>
      <c r="E267" s="2" t="inlineStr">
        <is>
          <t>346485201800001</t>
        </is>
      </c>
      <c r="F267" s="3">
        <f>SUM(G267:J267)</f>
        <v/>
      </c>
      <c r="G267" s="3" t="n">
        <v>595</v>
      </c>
      <c r="H267" s="3" t="n">
        <v>385</v>
      </c>
      <c r="I267" s="3" t="n">
        <v>508</v>
      </c>
      <c r="J267" s="3" t="n">
        <v>79</v>
      </c>
      <c r="K267" s="4">
        <f>G267/F267</f>
        <v/>
      </c>
      <c r="L267" s="4">
        <f>H267/F267</f>
        <v/>
      </c>
      <c r="M267" s="4">
        <f>I267/F267</f>
        <v/>
      </c>
      <c r="N267" s="3" t="n">
        <v>95</v>
      </c>
      <c r="O267" s="3" t="n">
        <v>15</v>
      </c>
      <c r="P267" s="2">
        <f>IF(F267&lt;100,"종료 100마리 미만","")</f>
        <v/>
      </c>
    </row>
    <row r="268">
      <c r="A268" s="2">
        <f>RANK(K268,$K$2:$K$454)</f>
        <v/>
      </c>
      <c r="B268" s="2" t="inlineStr">
        <is>
          <t>경기도</t>
        </is>
      </c>
      <c r="C268" s="2" t="inlineStr">
        <is>
          <t>경기도 의왕시</t>
        </is>
      </c>
      <c r="D268" s="2" t="inlineStr">
        <is>
          <t>한국야생동물보호관리</t>
        </is>
      </c>
      <c r="E268" s="2" t="inlineStr">
        <is>
          <t>341403200900002</t>
        </is>
      </c>
      <c r="F268" s="3">
        <f>SUM(G268:J268)</f>
        <v/>
      </c>
      <c r="G268" s="3" t="n">
        <v>11</v>
      </c>
      <c r="H268" s="3" t="n">
        <v>11</v>
      </c>
      <c r="I268" s="3" t="n">
        <v>6</v>
      </c>
      <c r="J268" s="3" t="n">
        <v>1</v>
      </c>
      <c r="K268" s="4">
        <f>G268/F268</f>
        <v/>
      </c>
      <c r="L268" s="4">
        <f>H268/F268</f>
        <v/>
      </c>
      <c r="M268" s="4">
        <f>I268/F268</f>
        <v/>
      </c>
      <c r="N268" s="3" t="n">
        <v>9</v>
      </c>
      <c r="O268" s="3" t="n">
        <v>0</v>
      </c>
      <c r="P268" s="2">
        <f>IF(F268&lt;100,"종료 100마리 미만","")</f>
        <v/>
      </c>
    </row>
    <row r="269">
      <c r="A269" s="2">
        <f>RANK(K269,$K$2:$K$454)</f>
        <v/>
      </c>
      <c r="B269" s="2" t="inlineStr">
        <is>
          <t>경상북도</t>
        </is>
      </c>
      <c r="C269" s="2" t="inlineStr">
        <is>
          <t>경상북도 경산시</t>
        </is>
      </c>
      <c r="D269" s="2" t="inlineStr">
        <is>
          <t>경산시유기동물보호소</t>
        </is>
      </c>
      <c r="E269" s="2" t="inlineStr">
        <is>
          <t>347513201800003</t>
        </is>
      </c>
      <c r="F269" s="3">
        <f>SUM(G269:J269)</f>
        <v/>
      </c>
      <c r="G269" s="3" t="n">
        <v>1057</v>
      </c>
      <c r="H269" s="3" t="n">
        <v>998</v>
      </c>
      <c r="I269" s="3" t="n">
        <v>723</v>
      </c>
      <c r="J269" s="3" t="n">
        <v>10</v>
      </c>
      <c r="K269" s="4">
        <f>G269/F269</f>
        <v/>
      </c>
      <c r="L269" s="4">
        <f>H269/F269</f>
        <v/>
      </c>
      <c r="M269" s="4">
        <f>I269/F269</f>
        <v/>
      </c>
      <c r="N269" s="3" t="n">
        <v>447</v>
      </c>
      <c r="O269" s="3" t="n">
        <v>77</v>
      </c>
      <c r="P269" s="2">
        <f>IF(F269&lt;100,"종료 100마리 미만","")</f>
        <v/>
      </c>
    </row>
    <row r="270">
      <c r="A270" s="2">
        <f>RANK(K270,$K$2:$K$454)</f>
        <v/>
      </c>
      <c r="B270" s="2" t="inlineStr">
        <is>
          <t>전남광주통합특별시</t>
        </is>
      </c>
      <c r="C270" s="2" t="inlineStr">
        <is>
          <t>전남광주통합특별시 곡성군</t>
        </is>
      </c>
      <c r="D270" s="2" t="inlineStr">
        <is>
          <t>곡성군동물보호소</t>
        </is>
      </c>
      <c r="E270" s="2" t="inlineStr">
        <is>
          <t>346486201600001</t>
        </is>
      </c>
      <c r="F270" s="3">
        <f>SUM(G270:J270)</f>
        <v/>
      </c>
      <c r="G270" s="3" t="n">
        <v>279</v>
      </c>
      <c r="H270" s="3" t="n">
        <v>115</v>
      </c>
      <c r="I270" s="3" t="n">
        <v>242</v>
      </c>
      <c r="J270" s="3" t="n">
        <v>103</v>
      </c>
      <c r="K270" s="4">
        <f>G270/F270</f>
        <v/>
      </c>
      <c r="L270" s="4">
        <f>H270/F270</f>
        <v/>
      </c>
      <c r="M270" s="4">
        <f>I270/F270</f>
        <v/>
      </c>
      <c r="N270" s="3" t="n">
        <v>53</v>
      </c>
      <c r="O270" s="3" t="n">
        <v>94</v>
      </c>
      <c r="P270" s="2">
        <f>IF(F270&lt;100,"종료 100마리 미만","")</f>
        <v/>
      </c>
    </row>
    <row r="271">
      <c r="A271" s="2">
        <f>RANK(K271,$K$2:$K$454)</f>
        <v/>
      </c>
      <c r="B271" s="2" t="inlineStr">
        <is>
          <t>부산광역시</t>
        </is>
      </c>
      <c r="C271" s="2" t="inlineStr">
        <is>
          <t>부산광역시 서구</t>
        </is>
      </c>
      <c r="D271" s="2" t="inlineStr">
        <is>
          <t>부산동물보호센터</t>
        </is>
      </c>
      <c r="E271" s="2" t="inlineStr">
        <is>
          <t>326326201000001</t>
        </is>
      </c>
      <c r="F271" s="3">
        <f>SUM(G271:J271)</f>
        <v/>
      </c>
      <c r="G271" s="3" t="n">
        <v>362</v>
      </c>
      <c r="H271" s="3" t="n">
        <v>44</v>
      </c>
      <c r="I271" s="3" t="n">
        <v>552</v>
      </c>
      <c r="J271" s="3" t="n">
        <v>4</v>
      </c>
      <c r="K271" s="4">
        <f>G271/F271</f>
        <v/>
      </c>
      <c r="L271" s="4">
        <f>H271/F271</f>
        <v/>
      </c>
      <c r="M271" s="4">
        <f>I271/F271</f>
        <v/>
      </c>
      <c r="N271" s="3" t="n">
        <v>92</v>
      </c>
      <c r="O271" s="3" t="n">
        <v>19</v>
      </c>
      <c r="P271" s="2">
        <f>IF(F271&lt;100,"종료 100마리 미만","")</f>
        <v/>
      </c>
    </row>
    <row r="272">
      <c r="A272" s="2">
        <f>RANK(K272,$K$2:$K$454)</f>
        <v/>
      </c>
      <c r="B272" s="2" t="inlineStr">
        <is>
          <t>전북특별자치도</t>
        </is>
      </c>
      <c r="C272" s="2" t="inlineStr">
        <is>
          <t>전북특별자치도 남원시</t>
        </is>
      </c>
      <c r="D272" s="2" t="inlineStr">
        <is>
          <t>인월동물병원</t>
        </is>
      </c>
      <c r="E272" s="2" t="inlineStr">
        <is>
          <t>345470202100001</t>
        </is>
      </c>
      <c r="F272" s="3">
        <f>SUM(G272:J272)</f>
        <v/>
      </c>
      <c r="G272" s="3" t="n">
        <v>176</v>
      </c>
      <c r="H272" s="3" t="n">
        <v>255</v>
      </c>
      <c r="I272" s="3" t="n">
        <v>37</v>
      </c>
      <c r="J272" s="3" t="n">
        <v>0</v>
      </c>
      <c r="K272" s="4">
        <f>G272/F272</f>
        <v/>
      </c>
      <c r="L272" s="4">
        <f>H272/F272</f>
        <v/>
      </c>
      <c r="M272" s="4">
        <f>I272/F272</f>
        <v/>
      </c>
      <c r="N272" s="3" t="n">
        <v>26</v>
      </c>
      <c r="O272" s="3" t="n">
        <v>0</v>
      </c>
      <c r="P272" s="2">
        <f>IF(F272&lt;100,"종료 100마리 미만","")</f>
        <v/>
      </c>
    </row>
    <row r="273">
      <c r="A273" s="2">
        <f>RANK(K273,$K$2:$K$454)</f>
        <v/>
      </c>
      <c r="B273" s="2" t="inlineStr">
        <is>
          <t>인천광역시</t>
        </is>
      </c>
      <c r="C273" s="2" t="inlineStr">
        <is>
          <t>인천광역시 계양구</t>
        </is>
      </c>
      <c r="D273" s="2" t="inlineStr">
        <is>
          <t>신영재동물병원</t>
        </is>
      </c>
      <c r="E273" s="2" t="inlineStr">
        <is>
          <t>328355200900001</t>
        </is>
      </c>
      <c r="F273" s="3">
        <f>SUM(G273:J273)</f>
        <v/>
      </c>
      <c r="G273" s="3" t="n">
        <v>360</v>
      </c>
      <c r="H273" s="3" t="n">
        <v>105</v>
      </c>
      <c r="I273" s="3" t="n">
        <v>471</v>
      </c>
      <c r="J273" s="3" t="n">
        <v>24</v>
      </c>
      <c r="K273" s="4">
        <f>G273/F273</f>
        <v/>
      </c>
      <c r="L273" s="4">
        <f>H273/F273</f>
        <v/>
      </c>
      <c r="M273" s="4">
        <f>I273/F273</f>
        <v/>
      </c>
      <c r="N273" s="3" t="n">
        <v>512</v>
      </c>
      <c r="O273" s="3" t="n">
        <v>1</v>
      </c>
      <c r="P273" s="2">
        <f>IF(F273&lt;100,"종료 100마리 미만","")</f>
        <v/>
      </c>
    </row>
    <row r="274">
      <c r="A274" s="2">
        <f>RANK(K274,$K$2:$K$454)</f>
        <v/>
      </c>
      <c r="B274" s="2" t="inlineStr">
        <is>
          <t>전남광주통합특별시</t>
        </is>
      </c>
      <c r="C274" s="2" t="inlineStr">
        <is>
          <t>전남광주통합특별시 동구</t>
        </is>
      </c>
      <c r="D274" s="2" t="inlineStr">
        <is>
          <t>광주동물보호센터</t>
        </is>
      </c>
      <c r="E274" s="2" t="inlineStr">
        <is>
          <t>329359201300001</t>
        </is>
      </c>
      <c r="F274" s="3">
        <f>SUM(G274:J274)</f>
        <v/>
      </c>
      <c r="G274" s="3" t="n">
        <v>141</v>
      </c>
      <c r="H274" s="3" t="n">
        <v>123</v>
      </c>
      <c r="I274" s="3" t="n">
        <v>83</v>
      </c>
      <c r="J274" s="3" t="n">
        <v>30</v>
      </c>
      <c r="K274" s="4">
        <f>G274/F274</f>
        <v/>
      </c>
      <c r="L274" s="4">
        <f>H274/F274</f>
        <v/>
      </c>
      <c r="M274" s="4">
        <f>I274/F274</f>
        <v/>
      </c>
      <c r="N274" s="3" t="n">
        <v>172</v>
      </c>
      <c r="O274" s="3" t="n">
        <v>0</v>
      </c>
      <c r="P274" s="2">
        <f>IF(F274&lt;100,"종료 100마리 미만","")</f>
        <v/>
      </c>
    </row>
    <row r="275">
      <c r="A275" s="2">
        <f>RANK(K275,$K$2:$K$454)</f>
        <v/>
      </c>
      <c r="B275" s="2" t="inlineStr">
        <is>
          <t>서울특별시</t>
        </is>
      </c>
      <c r="C275" s="2" t="inlineStr">
        <is>
          <t>서울특별시 종로구</t>
        </is>
      </c>
      <c r="D275" s="2" t="inlineStr">
        <is>
          <t>한국동물구조관리협회</t>
        </is>
      </c>
      <c r="E275" s="2" t="inlineStr">
        <is>
          <t>311300201300001</t>
        </is>
      </c>
      <c r="F275" s="3">
        <f>SUM(G275:J275)</f>
        <v/>
      </c>
      <c r="G275" s="3" t="n">
        <v>95</v>
      </c>
      <c r="H275" s="3" t="n">
        <v>121</v>
      </c>
      <c r="I275" s="3" t="n">
        <v>29</v>
      </c>
      <c r="J275" s="3" t="n">
        <v>10</v>
      </c>
      <c r="K275" s="4">
        <f>G275/F275</f>
        <v/>
      </c>
      <c r="L275" s="4">
        <f>H275/F275</f>
        <v/>
      </c>
      <c r="M275" s="4">
        <f>I275/F275</f>
        <v/>
      </c>
      <c r="N275" s="3" t="n">
        <v>112</v>
      </c>
      <c r="O275" s="3" t="n">
        <v>0</v>
      </c>
      <c r="P275" s="2">
        <f>IF(F275&lt;100,"종료 100마리 미만","")</f>
        <v/>
      </c>
    </row>
    <row r="276">
      <c r="A276" s="2">
        <f>RANK(K276,$K$2:$K$454)</f>
        <v/>
      </c>
      <c r="B276" s="2" t="inlineStr">
        <is>
          <t>부산광역시</t>
        </is>
      </c>
      <c r="C276" s="2" t="inlineStr">
        <is>
          <t>부산광역시 북구</t>
        </is>
      </c>
      <c r="D276" s="2" t="inlineStr">
        <is>
          <t>부산동물보호센터</t>
        </is>
      </c>
      <c r="E276" s="2" t="inlineStr">
        <is>
          <t>326332201000001</t>
        </is>
      </c>
      <c r="F276" s="3">
        <f>SUM(G276:J276)</f>
        <v/>
      </c>
      <c r="G276" s="3" t="n">
        <v>241</v>
      </c>
      <c r="H276" s="3" t="n">
        <v>27</v>
      </c>
      <c r="I276" s="3" t="n">
        <v>366</v>
      </c>
      <c r="J276" s="3" t="n">
        <v>13</v>
      </c>
      <c r="K276" s="4">
        <f>G276/F276</f>
        <v/>
      </c>
      <c r="L276" s="4">
        <f>H276/F276</f>
        <v/>
      </c>
      <c r="M276" s="4">
        <f>I276/F276</f>
        <v/>
      </c>
      <c r="N276" s="3" t="n">
        <v>118</v>
      </c>
      <c r="O276" s="3" t="n">
        <v>10</v>
      </c>
      <c r="P276" s="2">
        <f>IF(F276&lt;100,"종료 100마리 미만","")</f>
        <v/>
      </c>
    </row>
    <row r="277">
      <c r="A277" s="2">
        <f>RANK(K277,$K$2:$K$454)</f>
        <v/>
      </c>
      <c r="B277" s="2" t="inlineStr">
        <is>
          <t>대구광역시</t>
        </is>
      </c>
      <c r="C277" s="2" t="inlineStr">
        <is>
          <t>대구광역시 군위군</t>
        </is>
      </c>
      <c r="D277" s="2" t="inlineStr">
        <is>
          <t>우성동물병원</t>
        </is>
      </c>
      <c r="E277" s="2" t="inlineStr">
        <is>
          <t>347514201300001</t>
        </is>
      </c>
      <c r="F277" s="3">
        <f>SUM(G277:J277)</f>
        <v/>
      </c>
      <c r="G277" s="3" t="n">
        <v>170</v>
      </c>
      <c r="H277" s="3" t="n">
        <v>153</v>
      </c>
      <c r="I277" s="3" t="n">
        <v>134</v>
      </c>
      <c r="J277" s="3" t="n">
        <v>0</v>
      </c>
      <c r="K277" s="4">
        <f>G277/F277</f>
        <v/>
      </c>
      <c r="L277" s="4">
        <f>H277/F277</f>
        <v/>
      </c>
      <c r="M277" s="4">
        <f>I277/F277</f>
        <v/>
      </c>
      <c r="N277" s="3" t="n">
        <v>35</v>
      </c>
      <c r="O277" s="3" t="n">
        <v>2</v>
      </c>
      <c r="P277" s="2">
        <f>IF(F277&lt;100,"종료 100마리 미만","")</f>
        <v/>
      </c>
    </row>
    <row r="278">
      <c r="A278" s="2">
        <f>RANK(K278,$K$2:$K$454)</f>
        <v/>
      </c>
      <c r="B278" s="2" t="inlineStr">
        <is>
          <t>경기도</t>
        </is>
      </c>
      <c r="C278" s="2" t="inlineStr">
        <is>
          <t>경기도 광주시</t>
        </is>
      </c>
      <c r="D278" s="2" t="inlineStr">
        <is>
          <t>광주TNR동물병원초월</t>
        </is>
      </c>
      <c r="E278" s="2" t="inlineStr">
        <is>
          <t>341554201900001</t>
        </is>
      </c>
      <c r="F278" s="3">
        <f>SUM(G278:J278)</f>
        <v/>
      </c>
      <c r="G278" s="3" t="n">
        <v>623</v>
      </c>
      <c r="H278" s="3" t="n">
        <v>207</v>
      </c>
      <c r="I278" s="3" t="n">
        <v>97</v>
      </c>
      <c r="J278" s="3" t="n">
        <v>749</v>
      </c>
      <c r="K278" s="4">
        <f>G278/F278</f>
        <v/>
      </c>
      <c r="L278" s="4">
        <f>H278/F278</f>
        <v/>
      </c>
      <c r="M278" s="4">
        <f>I278/F278</f>
        <v/>
      </c>
      <c r="N278" s="3" t="n">
        <v>303</v>
      </c>
      <c r="O278" s="3" t="n">
        <v>3</v>
      </c>
      <c r="P278" s="2">
        <f>IF(F278&lt;100,"종료 100마리 미만","")</f>
        <v/>
      </c>
    </row>
    <row r="279">
      <c r="A279" s="2">
        <f>RANK(K279,$K$2:$K$454)</f>
        <v/>
      </c>
      <c r="B279" s="2" t="inlineStr">
        <is>
          <t>경기도</t>
        </is>
      </c>
      <c r="C279" s="2" t="inlineStr">
        <is>
          <t>경기도 남양주시</t>
        </is>
      </c>
      <c r="D279" s="2" t="inlineStr">
        <is>
          <t>남양주시동물보호센터</t>
        </is>
      </c>
      <c r="E279" s="2" t="inlineStr">
        <is>
          <t>341399202200002</t>
        </is>
      </c>
      <c r="F279" s="3">
        <f>SUM(G279:J279)</f>
        <v/>
      </c>
      <c r="G279" s="3" t="n">
        <v>728</v>
      </c>
      <c r="H279" s="3" t="n">
        <v>776</v>
      </c>
      <c r="I279" s="3" t="n">
        <v>232</v>
      </c>
      <c r="J279" s="3" t="n">
        <v>235</v>
      </c>
      <c r="K279" s="4">
        <f>G279/F279</f>
        <v/>
      </c>
      <c r="L279" s="4">
        <f>H279/F279</f>
        <v/>
      </c>
      <c r="M279" s="4">
        <f>I279/F279</f>
        <v/>
      </c>
      <c r="N279" s="3" t="n">
        <v>603</v>
      </c>
      <c r="O279" s="3" t="n">
        <v>10</v>
      </c>
      <c r="P279" s="2">
        <f>IF(F279&lt;100,"종료 100마리 미만","")</f>
        <v/>
      </c>
    </row>
    <row r="280">
      <c r="A280" s="2">
        <f>RANK(K280,$K$2:$K$454)</f>
        <v/>
      </c>
      <c r="B280" s="2" t="inlineStr">
        <is>
          <t>대구광역시</t>
        </is>
      </c>
      <c r="C280" s="2" t="inlineStr">
        <is>
          <t>대구광역시 달서구</t>
        </is>
      </c>
      <c r="D280" s="2" t="inlineStr">
        <is>
          <t>대구유기동물보호협회</t>
        </is>
      </c>
      <c r="E280" s="2" t="inlineStr">
        <is>
          <t>327347201400001</t>
        </is>
      </c>
      <c r="F280" s="3">
        <f>SUM(G280:J280)</f>
        <v/>
      </c>
      <c r="G280" s="3" t="n">
        <v>228</v>
      </c>
      <c r="H280" s="3" t="n">
        <v>302</v>
      </c>
      <c r="I280" s="3" t="n">
        <v>88</v>
      </c>
      <c r="J280" s="3" t="n">
        <v>0</v>
      </c>
      <c r="K280" s="4">
        <f>G280/F280</f>
        <v/>
      </c>
      <c r="L280" s="4">
        <f>H280/F280</f>
        <v/>
      </c>
      <c r="M280" s="4">
        <f>I280/F280</f>
        <v/>
      </c>
      <c r="N280" s="3" t="n">
        <v>344</v>
      </c>
      <c r="O280" s="3" t="n">
        <v>2</v>
      </c>
      <c r="P280" s="2">
        <f>IF(F280&lt;100,"종료 100마리 미만","")</f>
        <v/>
      </c>
    </row>
    <row r="281">
      <c r="A281" s="2">
        <f>RANK(K281,$K$2:$K$454)</f>
        <v/>
      </c>
      <c r="B281" s="2" t="inlineStr">
        <is>
          <t>강원특별자치도</t>
        </is>
      </c>
      <c r="C281" s="2" t="inlineStr">
        <is>
          <t>강원특별자치도 양양군</t>
        </is>
      </c>
      <c r="D281" s="2" t="inlineStr">
        <is>
          <t>양양군유기동물보호소</t>
        </is>
      </c>
      <c r="E281" s="2" t="inlineStr">
        <is>
          <t>342435201000001</t>
        </is>
      </c>
      <c r="F281" s="3">
        <f>SUM(G281:J281)</f>
        <v/>
      </c>
      <c r="G281" s="3" t="n">
        <v>295</v>
      </c>
      <c r="H281" s="3" t="n">
        <v>57</v>
      </c>
      <c r="I281" s="3" t="n">
        <v>451</v>
      </c>
      <c r="J281" s="3" t="n">
        <v>0</v>
      </c>
      <c r="K281" s="4">
        <f>G281/F281</f>
        <v/>
      </c>
      <c r="L281" s="4">
        <f>H281/F281</f>
        <v/>
      </c>
      <c r="M281" s="4">
        <f>I281/F281</f>
        <v/>
      </c>
      <c r="N281" s="3" t="n">
        <v>44</v>
      </c>
      <c r="O281" s="3" t="n">
        <v>17</v>
      </c>
      <c r="P281" s="2">
        <f>IF(F281&lt;100,"종료 100마리 미만","")</f>
        <v/>
      </c>
    </row>
    <row r="282">
      <c r="A282" s="2">
        <f>RANK(K282,$K$2:$K$454)</f>
        <v/>
      </c>
      <c r="B282" s="2" t="inlineStr">
        <is>
          <t>충청남도</t>
        </is>
      </c>
      <c r="C282" s="2" t="inlineStr">
        <is>
          <t>충청남도 청양군</t>
        </is>
      </c>
      <c r="D282" s="2" t="inlineStr">
        <is>
          <t>청양보호소</t>
        </is>
      </c>
      <c r="E282" s="2" t="inlineStr">
        <is>
          <t>344459202000001</t>
        </is>
      </c>
      <c r="F282" s="3">
        <f>SUM(G282:J282)</f>
        <v/>
      </c>
      <c r="G282" s="3" t="n">
        <v>206</v>
      </c>
      <c r="H282" s="3" t="n">
        <v>205</v>
      </c>
      <c r="I282" s="3" t="n">
        <v>140</v>
      </c>
      <c r="J282" s="3" t="n">
        <v>10</v>
      </c>
      <c r="K282" s="4">
        <f>G282/F282</f>
        <v/>
      </c>
      <c r="L282" s="4">
        <f>H282/F282</f>
        <v/>
      </c>
      <c r="M282" s="4">
        <f>I282/F282</f>
        <v/>
      </c>
      <c r="N282" s="3" t="n">
        <v>54</v>
      </c>
      <c r="O282" s="3" t="n">
        <v>4</v>
      </c>
      <c r="P282" s="2">
        <f>IF(F282&lt;100,"종료 100마리 미만","")</f>
        <v/>
      </c>
    </row>
    <row r="283">
      <c r="A283" s="2">
        <f>RANK(K283,$K$2:$K$454)</f>
        <v/>
      </c>
      <c r="B283" s="2" t="inlineStr">
        <is>
          <t>전북특별자치도</t>
        </is>
      </c>
      <c r="C283" s="2" t="inlineStr">
        <is>
          <t>전북특별자치도 전주시</t>
        </is>
      </c>
      <c r="D283" s="2" t="inlineStr">
        <is>
          <t>데이지동물병원</t>
        </is>
      </c>
      <c r="E283" s="2" t="inlineStr">
        <is>
          <t>345464202500001</t>
        </is>
      </c>
      <c r="F283" s="3">
        <f>SUM(G283:J283)</f>
        <v/>
      </c>
      <c r="G283" s="3" t="n">
        <v>11</v>
      </c>
      <c r="H283" s="3" t="n">
        <v>18</v>
      </c>
      <c r="I283" s="3" t="n">
        <v>0</v>
      </c>
      <c r="J283" s="3" t="n">
        <v>1</v>
      </c>
      <c r="K283" s="4">
        <f>G283/F283</f>
        <v/>
      </c>
      <c r="L283" s="4">
        <f>H283/F283</f>
        <v/>
      </c>
      <c r="M283" s="4">
        <f>I283/F283</f>
        <v/>
      </c>
      <c r="N283" s="3" t="n">
        <v>8</v>
      </c>
      <c r="O283" s="3" t="n">
        <v>0</v>
      </c>
      <c r="P283" s="2">
        <f>IF(F283&lt;100,"종료 100마리 미만","")</f>
        <v/>
      </c>
    </row>
    <row r="284">
      <c r="A284" s="2">
        <f>RANK(K284,$K$2:$K$454)</f>
        <v/>
      </c>
      <c r="B284" s="2" t="inlineStr">
        <is>
          <t>경상북도</t>
        </is>
      </c>
      <c r="C284" s="2" t="inlineStr">
        <is>
          <t>경상북도 봉화군</t>
        </is>
      </c>
      <c r="D284" s="2" t="inlineStr">
        <is>
          <t>봉화군유기동물보호소</t>
        </is>
      </c>
      <c r="E284" s="2" t="inlineStr">
        <is>
          <t>347524201400001</t>
        </is>
      </c>
      <c r="F284" s="3">
        <f>SUM(G284:J284)</f>
        <v/>
      </c>
      <c r="G284" s="3" t="n">
        <v>100</v>
      </c>
      <c r="H284" s="3" t="n">
        <v>135</v>
      </c>
      <c r="I284" s="3" t="n">
        <v>38</v>
      </c>
      <c r="J284" s="3" t="n">
        <v>0</v>
      </c>
      <c r="K284" s="4">
        <f>G284/F284</f>
        <v/>
      </c>
      <c r="L284" s="4">
        <f>H284/F284</f>
        <v/>
      </c>
      <c r="M284" s="4">
        <f>I284/F284</f>
        <v/>
      </c>
      <c r="N284" s="3" t="n">
        <v>15</v>
      </c>
      <c r="O284" s="3" t="n">
        <v>0</v>
      </c>
      <c r="P284" s="2">
        <f>IF(F284&lt;100,"종료 100마리 미만","")</f>
        <v/>
      </c>
    </row>
    <row r="285">
      <c r="A285" s="2">
        <f>RANK(K285,$K$2:$K$454)</f>
        <v/>
      </c>
      <c r="B285" s="2" t="inlineStr">
        <is>
          <t>경기도</t>
        </is>
      </c>
      <c r="C285" s="2" t="inlineStr">
        <is>
          <t>경기도 의정부시</t>
        </is>
      </c>
      <c r="D285" s="2" t="inlineStr">
        <is>
          <t>한국동물구조관리협회</t>
        </is>
      </c>
      <c r="E285" s="2" t="inlineStr">
        <is>
          <t>341382200900001</t>
        </is>
      </c>
      <c r="F285" s="3">
        <f>SUM(G285:J285)</f>
        <v/>
      </c>
      <c r="G285" s="3" t="n">
        <v>255</v>
      </c>
      <c r="H285" s="3" t="n">
        <v>355</v>
      </c>
      <c r="I285" s="3" t="n">
        <v>49</v>
      </c>
      <c r="J285" s="3" t="n">
        <v>40</v>
      </c>
      <c r="K285" s="4">
        <f>G285/F285</f>
        <v/>
      </c>
      <c r="L285" s="4">
        <f>H285/F285</f>
        <v/>
      </c>
      <c r="M285" s="4">
        <f>I285/F285</f>
        <v/>
      </c>
      <c r="N285" s="3" t="n">
        <v>469</v>
      </c>
      <c r="O285" s="3" t="n">
        <v>2</v>
      </c>
      <c r="P285" s="2">
        <f>IF(F285&lt;100,"종료 100마리 미만","")</f>
        <v/>
      </c>
    </row>
    <row r="286">
      <c r="A286" s="2">
        <f>RANK(K286,$K$2:$K$454)</f>
        <v/>
      </c>
      <c r="B286" s="2" t="inlineStr">
        <is>
          <t>강원특별자치도</t>
        </is>
      </c>
      <c r="C286" s="2" t="inlineStr">
        <is>
          <t>강원특별자치도 영월군</t>
        </is>
      </c>
      <c r="D286" s="2" t="inlineStr">
        <is>
          <t>영월군 동물보호센터</t>
        </is>
      </c>
      <c r="E286" s="2" t="inlineStr">
        <is>
          <t>342427201400001</t>
        </is>
      </c>
      <c r="F286" s="3">
        <f>SUM(G286:J286)</f>
        <v/>
      </c>
      <c r="G286" s="3" t="n">
        <v>164</v>
      </c>
      <c r="H286" s="3" t="n">
        <v>212</v>
      </c>
      <c r="I286" s="3" t="n">
        <v>75</v>
      </c>
      <c r="J286" s="3" t="n">
        <v>0</v>
      </c>
      <c r="K286" s="4">
        <f>G286/F286</f>
        <v/>
      </c>
      <c r="L286" s="4">
        <f>H286/F286</f>
        <v/>
      </c>
      <c r="M286" s="4">
        <f>I286/F286</f>
        <v/>
      </c>
      <c r="N286" s="3" t="n">
        <v>81</v>
      </c>
      <c r="O286" s="3" t="n">
        <v>28</v>
      </c>
      <c r="P286" s="2">
        <f>IF(F286&lt;100,"종료 100마리 미만","")</f>
        <v/>
      </c>
    </row>
    <row r="287">
      <c r="A287" s="2">
        <f>RANK(K287,$K$2:$K$454)</f>
        <v/>
      </c>
      <c r="B287" s="2" t="inlineStr">
        <is>
          <t>경기도</t>
        </is>
      </c>
      <c r="C287" s="2" t="inlineStr">
        <is>
          <t>경기도 시흥시</t>
        </is>
      </c>
      <c r="D287" s="2" t="inlineStr">
        <is>
          <t>한국야생동물보호협회</t>
        </is>
      </c>
      <c r="E287" s="2" t="inlineStr">
        <is>
          <t>341401201300001</t>
        </is>
      </c>
      <c r="F287" s="3">
        <f>SUM(G287:J287)</f>
        <v/>
      </c>
      <c r="G287" s="3" t="n">
        <v>191</v>
      </c>
      <c r="H287" s="3" t="n">
        <v>194</v>
      </c>
      <c r="I287" s="3" t="n">
        <v>100</v>
      </c>
      <c r="J287" s="3" t="n">
        <v>43</v>
      </c>
      <c r="K287" s="4">
        <f>G287/F287</f>
        <v/>
      </c>
      <c r="L287" s="4">
        <f>H287/F287</f>
        <v/>
      </c>
      <c r="M287" s="4">
        <f>I287/F287</f>
        <v/>
      </c>
      <c r="N287" s="3" t="n">
        <v>174</v>
      </c>
      <c r="O287" s="3" t="n">
        <v>0</v>
      </c>
      <c r="P287" s="2">
        <f>IF(F287&lt;100,"종료 100마리 미만","")</f>
        <v/>
      </c>
    </row>
    <row r="288">
      <c r="A288" s="2">
        <f>RANK(K288,$K$2:$K$454)</f>
        <v/>
      </c>
      <c r="B288" s="2" t="inlineStr">
        <is>
          <t>서울특별시</t>
        </is>
      </c>
      <c r="C288" s="2" t="inlineStr">
        <is>
          <t>서울특별시 서초구</t>
        </is>
      </c>
      <c r="D288" s="2" t="inlineStr">
        <is>
          <t>한국동물구조관리협회</t>
        </is>
      </c>
      <c r="E288" s="2" t="inlineStr">
        <is>
          <t>311321200900002</t>
        </is>
      </c>
      <c r="F288" s="3">
        <f>SUM(G288:J288)</f>
        <v/>
      </c>
      <c r="G288" s="3" t="n">
        <v>76</v>
      </c>
      <c r="H288" s="3" t="n">
        <v>81</v>
      </c>
      <c r="I288" s="3" t="n">
        <v>16</v>
      </c>
      <c r="J288" s="3" t="n">
        <v>38</v>
      </c>
      <c r="K288" s="4">
        <f>G288/F288</f>
        <v/>
      </c>
      <c r="L288" s="4">
        <f>H288/F288</f>
        <v/>
      </c>
      <c r="M288" s="4">
        <f>I288/F288</f>
        <v/>
      </c>
      <c r="N288" s="3" t="n">
        <v>91</v>
      </c>
      <c r="O288" s="3" t="n">
        <v>0</v>
      </c>
      <c r="P288" s="2">
        <f>IF(F288&lt;100,"종료 100마리 미만","")</f>
        <v/>
      </c>
    </row>
    <row r="289">
      <c r="A289" s="2">
        <f>RANK(K289,$K$2:$K$454)</f>
        <v/>
      </c>
      <c r="B289" s="2" t="inlineStr">
        <is>
          <t>부산광역시</t>
        </is>
      </c>
      <c r="C289" s="2" t="inlineStr">
        <is>
          <t>부산광역시 동래구</t>
        </is>
      </c>
      <c r="D289" s="2" t="inlineStr">
        <is>
          <t>누리동물병원</t>
        </is>
      </c>
      <c r="E289" s="2" t="inlineStr">
        <is>
          <t>326330201300001</t>
        </is>
      </c>
      <c r="F289" s="3">
        <f>SUM(G289:J289)</f>
        <v/>
      </c>
      <c r="G289" s="3" t="n">
        <v>76</v>
      </c>
      <c r="H289" s="3" t="n">
        <v>39</v>
      </c>
      <c r="I289" s="3" t="n">
        <v>96</v>
      </c>
      <c r="J289" s="3" t="n">
        <v>0</v>
      </c>
      <c r="K289" s="4">
        <f>G289/F289</f>
        <v/>
      </c>
      <c r="L289" s="4">
        <f>H289/F289</f>
        <v/>
      </c>
      <c r="M289" s="4">
        <f>I289/F289</f>
        <v/>
      </c>
      <c r="N289" s="3" t="n">
        <v>128</v>
      </c>
      <c r="O289" s="3" t="n">
        <v>1</v>
      </c>
      <c r="P289" s="2">
        <f>IF(F289&lt;100,"종료 100마리 미만","")</f>
        <v/>
      </c>
    </row>
    <row r="290">
      <c r="A290" s="2">
        <f>RANK(K290,$K$2:$K$454)</f>
        <v/>
      </c>
      <c r="B290" s="2" t="inlineStr">
        <is>
          <t>강원특별자치도</t>
        </is>
      </c>
      <c r="C290" s="2" t="inlineStr">
        <is>
          <t>강원특별자치도 정선군</t>
        </is>
      </c>
      <c r="D290" s="2" t="inlineStr">
        <is>
          <t>정선가축병원</t>
        </is>
      </c>
      <c r="E290" s="2" t="inlineStr">
        <is>
          <t>342429201400001</t>
        </is>
      </c>
      <c r="F290" s="3">
        <f>SUM(G290:J290)</f>
        <v/>
      </c>
      <c r="G290" s="3" t="n">
        <v>432</v>
      </c>
      <c r="H290" s="3" t="n">
        <v>692</v>
      </c>
      <c r="I290" s="3" t="n">
        <v>78</v>
      </c>
      <c r="J290" s="3" t="n">
        <v>1</v>
      </c>
      <c r="K290" s="4">
        <f>G290/F290</f>
        <v/>
      </c>
      <c r="L290" s="4">
        <f>H290/F290</f>
        <v/>
      </c>
      <c r="M290" s="4">
        <f>I290/F290</f>
        <v/>
      </c>
      <c r="N290" s="3" t="n">
        <v>42</v>
      </c>
      <c r="O290" s="3" t="n">
        <v>5</v>
      </c>
      <c r="P290" s="2">
        <f>IF(F290&lt;100,"종료 100마리 미만","")</f>
        <v/>
      </c>
    </row>
    <row r="291">
      <c r="A291" s="2">
        <f>RANK(K291,$K$2:$K$454)</f>
        <v/>
      </c>
      <c r="B291" s="2" t="inlineStr">
        <is>
          <t>세종특별자치시</t>
        </is>
      </c>
      <c r="C291" s="2" t="inlineStr">
        <is>
          <t>세종특별자치시</t>
        </is>
      </c>
      <c r="D291" s="2" t="inlineStr">
        <is>
          <t>세종유기동물보호센터</t>
        </is>
      </c>
      <c r="E291" s="2" t="inlineStr">
        <is>
          <t>369569202000001</t>
        </is>
      </c>
      <c r="F291" s="3">
        <f>SUM(G291:J291)</f>
        <v/>
      </c>
      <c r="G291" s="3" t="n">
        <v>640</v>
      </c>
      <c r="H291" s="3" t="n">
        <v>760</v>
      </c>
      <c r="I291" s="3" t="n">
        <v>420</v>
      </c>
      <c r="J291" s="3" t="n">
        <v>7</v>
      </c>
      <c r="K291" s="4">
        <f>G291/F291</f>
        <v/>
      </c>
      <c r="L291" s="4">
        <f>H291/F291</f>
        <v/>
      </c>
      <c r="M291" s="4">
        <f>I291/F291</f>
        <v/>
      </c>
      <c r="N291" s="3" t="n">
        <v>52</v>
      </c>
      <c r="O291" s="3" t="n">
        <v>0</v>
      </c>
      <c r="P291" s="2">
        <f>IF(F291&lt;100,"종료 100마리 미만","")</f>
        <v/>
      </c>
    </row>
    <row r="292">
      <c r="A292" s="2">
        <f>RANK(K292,$K$2:$K$454)</f>
        <v/>
      </c>
      <c r="B292" s="2" t="inlineStr">
        <is>
          <t>부산광역시</t>
        </is>
      </c>
      <c r="C292" s="2" t="inlineStr">
        <is>
          <t>부산광역시 기장군</t>
        </is>
      </c>
      <c r="D292" s="2" t="inlineStr">
        <is>
          <t>사단법인 동부</t>
        </is>
      </c>
      <c r="E292" s="2" t="inlineStr">
        <is>
          <t>326340201100001</t>
        </is>
      </c>
      <c r="F292" s="3">
        <f>SUM(G292:J292)</f>
        <v/>
      </c>
      <c r="G292" s="3" t="n">
        <v>319</v>
      </c>
      <c r="H292" s="3" t="n">
        <v>60</v>
      </c>
      <c r="I292" s="3" t="n">
        <v>532</v>
      </c>
      <c r="J292" s="3" t="n">
        <v>0</v>
      </c>
      <c r="K292" s="4">
        <f>G292/F292</f>
        <v/>
      </c>
      <c r="L292" s="4">
        <f>H292/F292</f>
        <v/>
      </c>
      <c r="M292" s="4">
        <f>I292/F292</f>
        <v/>
      </c>
      <c r="N292" s="3" t="n">
        <v>307</v>
      </c>
      <c r="O292" s="3" t="n">
        <v>8</v>
      </c>
      <c r="P292" s="2">
        <f>IF(F292&lt;100,"종료 100마리 미만","")</f>
        <v/>
      </c>
    </row>
    <row r="293">
      <c r="A293" s="2">
        <f>RANK(K293,$K$2:$K$454)</f>
        <v/>
      </c>
      <c r="B293" s="2" t="inlineStr">
        <is>
          <t>경상남도</t>
        </is>
      </c>
      <c r="C293" s="2" t="inlineStr">
        <is>
          <t>경상남도 밀양시</t>
        </is>
      </c>
      <c r="D293" s="2" t="inlineStr">
        <is>
          <t>밀양시 동물보호센터</t>
        </is>
      </c>
      <c r="E293" s="2" t="inlineStr">
        <is>
          <t>348536201800001</t>
        </is>
      </c>
      <c r="F293" s="3">
        <f>SUM(G293:J293)</f>
        <v/>
      </c>
      <c r="G293" s="3" t="n">
        <v>2304</v>
      </c>
      <c r="H293" s="3" t="n">
        <v>1803</v>
      </c>
      <c r="I293" s="3" t="n">
        <v>1846</v>
      </c>
      <c r="J293" s="3" t="n">
        <v>631</v>
      </c>
      <c r="K293" s="4">
        <f>G293/F293</f>
        <v/>
      </c>
      <c r="L293" s="4">
        <f>H293/F293</f>
        <v/>
      </c>
      <c r="M293" s="4">
        <f>I293/F293</f>
        <v/>
      </c>
      <c r="N293" s="3" t="n">
        <v>341</v>
      </c>
      <c r="O293" s="3" t="n">
        <v>0</v>
      </c>
      <c r="P293" s="2">
        <f>IF(F293&lt;100,"종료 100마리 미만","")</f>
        <v/>
      </c>
    </row>
    <row r="294">
      <c r="A294" s="2">
        <f>RANK(K294,$K$2:$K$454)</f>
        <v/>
      </c>
      <c r="B294" s="2" t="inlineStr">
        <is>
          <t>경상남도</t>
        </is>
      </c>
      <c r="C294" s="2" t="inlineStr">
        <is>
          <t>경상남도 남해군</t>
        </is>
      </c>
      <c r="D294" s="2" t="inlineStr">
        <is>
          <t>남해군동물보호센터</t>
        </is>
      </c>
      <c r="E294" s="2" t="inlineStr">
        <is>
          <t>348543201300001</t>
        </is>
      </c>
      <c r="F294" s="3">
        <f>SUM(G294:J294)</f>
        <v/>
      </c>
      <c r="G294" s="3" t="n">
        <v>348</v>
      </c>
      <c r="H294" s="3" t="n">
        <v>161</v>
      </c>
      <c r="I294" s="3" t="n">
        <v>375</v>
      </c>
      <c r="J294" s="3" t="n">
        <v>114</v>
      </c>
      <c r="K294" s="4">
        <f>G294/F294</f>
        <v/>
      </c>
      <c r="L294" s="4">
        <f>H294/F294</f>
        <v/>
      </c>
      <c r="M294" s="4">
        <f>I294/F294</f>
        <v/>
      </c>
      <c r="N294" s="3" t="n">
        <v>89</v>
      </c>
      <c r="O294" s="3" t="n">
        <v>5</v>
      </c>
      <c r="P294" s="2">
        <f>IF(F294&lt;100,"종료 100마리 미만","")</f>
        <v/>
      </c>
    </row>
    <row r="295">
      <c r="A295" s="2">
        <f>RANK(K295,$K$2:$K$454)</f>
        <v/>
      </c>
      <c r="B295" s="2" t="inlineStr">
        <is>
          <t>강원특별자치도</t>
        </is>
      </c>
      <c r="C295" s="2" t="inlineStr">
        <is>
          <t>강원특별자치도 양구군</t>
        </is>
      </c>
      <c r="D295" s="2" t="inlineStr">
        <is>
          <t>양구군유기동물보호소</t>
        </is>
      </c>
      <c r="E295" s="2" t="inlineStr">
        <is>
          <t>342432201000001</t>
        </is>
      </c>
      <c r="F295" s="3">
        <f>SUM(G295:J295)</f>
        <v/>
      </c>
      <c r="G295" s="3" t="n">
        <v>110</v>
      </c>
      <c r="H295" s="3" t="n">
        <v>180</v>
      </c>
      <c r="I295" s="3" t="n">
        <v>22</v>
      </c>
      <c r="J295" s="3" t="n">
        <v>4</v>
      </c>
      <c r="K295" s="4">
        <f>G295/F295</f>
        <v/>
      </c>
      <c r="L295" s="4">
        <f>H295/F295</f>
        <v/>
      </c>
      <c r="M295" s="4">
        <f>I295/F295</f>
        <v/>
      </c>
      <c r="N295" s="3" t="n">
        <v>18</v>
      </c>
      <c r="O295" s="3" t="n">
        <v>0</v>
      </c>
      <c r="P295" s="2">
        <f>IF(F295&lt;100,"종료 100마리 미만","")</f>
        <v/>
      </c>
    </row>
    <row r="296">
      <c r="A296" s="2">
        <f>RANK(K296,$K$2:$K$454)</f>
        <v/>
      </c>
      <c r="B296" s="2" t="inlineStr">
        <is>
          <t>충청남도</t>
        </is>
      </c>
      <c r="C296" s="2" t="inlineStr">
        <is>
          <t>충청남도 논산시</t>
        </is>
      </c>
      <c r="D296" s="2" t="inlineStr">
        <is>
          <t>논산시 동물보호센터</t>
        </is>
      </c>
      <c r="E296" s="2" t="inlineStr">
        <is>
          <t>344454202000006</t>
        </is>
      </c>
      <c r="F296" s="3">
        <f>SUM(G296:J296)</f>
        <v/>
      </c>
      <c r="G296" s="3" t="n">
        <v>745</v>
      </c>
      <c r="H296" s="3" t="n">
        <v>1034</v>
      </c>
      <c r="I296" s="3" t="n">
        <v>352</v>
      </c>
      <c r="J296" s="3" t="n">
        <v>19</v>
      </c>
      <c r="K296" s="4">
        <f>G296/F296</f>
        <v/>
      </c>
      <c r="L296" s="4">
        <f>H296/F296</f>
        <v/>
      </c>
      <c r="M296" s="4">
        <f>I296/F296</f>
        <v/>
      </c>
      <c r="N296" s="3" t="n">
        <v>235</v>
      </c>
      <c r="O296" s="3" t="n">
        <v>0</v>
      </c>
      <c r="P296" s="2">
        <f>IF(F296&lt;100,"종료 100마리 미만","")</f>
        <v/>
      </c>
    </row>
    <row r="297">
      <c r="A297" s="2">
        <f>RANK(K297,$K$2:$K$454)</f>
        <v/>
      </c>
      <c r="B297" s="2" t="inlineStr">
        <is>
          <t>전남광주통합특별시</t>
        </is>
      </c>
      <c r="C297" s="2" t="inlineStr">
        <is>
          <t>전남광주통합특별시 광양시</t>
        </is>
      </c>
      <c r="D297" s="2" t="inlineStr">
        <is>
          <t>광양시 임시보호소</t>
        </is>
      </c>
      <c r="E297" s="2" t="inlineStr">
        <is>
          <t>346484201900001</t>
        </is>
      </c>
      <c r="F297" s="3">
        <f>SUM(G297:J297)</f>
        <v/>
      </c>
      <c r="G297" s="3" t="n">
        <v>712</v>
      </c>
      <c r="H297" s="3" t="n">
        <v>628</v>
      </c>
      <c r="I297" s="3" t="n">
        <v>734</v>
      </c>
      <c r="J297" s="3" t="n">
        <v>4</v>
      </c>
      <c r="K297" s="4">
        <f>G297/F297</f>
        <v/>
      </c>
      <c r="L297" s="4">
        <f>H297/F297</f>
        <v/>
      </c>
      <c r="M297" s="4">
        <f>I297/F297</f>
        <v/>
      </c>
      <c r="N297" s="3" t="n">
        <v>170</v>
      </c>
      <c r="O297" s="3" t="n">
        <v>0</v>
      </c>
      <c r="P297" s="2">
        <f>IF(F297&lt;100,"종료 100마리 미만","")</f>
        <v/>
      </c>
    </row>
    <row r="298">
      <c r="A298" s="2">
        <f>RANK(K298,$K$2:$K$454)</f>
        <v/>
      </c>
      <c r="B298" s="2" t="inlineStr">
        <is>
          <t>경기도</t>
        </is>
      </c>
      <c r="C298" s="2" t="inlineStr">
        <is>
          <t>경기도 하남시</t>
        </is>
      </c>
      <c r="D298" s="2" t="inlineStr">
        <is>
          <t>한국동물구조관리협회</t>
        </is>
      </c>
      <c r="E298" s="2" t="inlineStr">
        <is>
          <t>341404202300001</t>
        </is>
      </c>
      <c r="F298" s="3">
        <f>SUM(G298:J298)</f>
        <v/>
      </c>
      <c r="G298" s="3" t="n">
        <v>54</v>
      </c>
      <c r="H298" s="3" t="n">
        <v>80</v>
      </c>
      <c r="I298" s="3" t="n">
        <v>24</v>
      </c>
      <c r="J298" s="3" t="n">
        <v>0</v>
      </c>
      <c r="K298" s="4">
        <f>G298/F298</f>
        <v/>
      </c>
      <c r="L298" s="4">
        <f>H298/F298</f>
        <v/>
      </c>
      <c r="M298" s="4">
        <f>I298/F298</f>
        <v/>
      </c>
      <c r="N298" s="3" t="n">
        <v>15</v>
      </c>
      <c r="O298" s="3" t="n">
        <v>0</v>
      </c>
      <c r="P298" s="2">
        <f>IF(F298&lt;100,"종료 100마리 미만","")</f>
        <v/>
      </c>
    </row>
    <row r="299">
      <c r="A299" s="2">
        <f>RANK(K299,$K$2:$K$454)</f>
        <v/>
      </c>
      <c r="B299" s="2" t="inlineStr">
        <is>
          <t>경기도</t>
        </is>
      </c>
      <c r="C299" s="2" t="inlineStr">
        <is>
          <t>경기도 이천시</t>
        </is>
      </c>
      <c r="D299" s="2" t="inlineStr">
        <is>
          <t>위더스 동물보호센터</t>
        </is>
      </c>
      <c r="E299" s="2" t="inlineStr">
        <is>
          <t>341407201900001</t>
        </is>
      </c>
      <c r="F299" s="3">
        <f>SUM(G299:J299)</f>
        <v/>
      </c>
      <c r="G299" s="3" t="n">
        <v>942</v>
      </c>
      <c r="H299" s="3" t="n">
        <v>864</v>
      </c>
      <c r="I299" s="3" t="n">
        <v>961</v>
      </c>
      <c r="J299" s="3" t="n">
        <v>2</v>
      </c>
      <c r="K299" s="4">
        <f>G299/F299</f>
        <v/>
      </c>
      <c r="L299" s="4">
        <f>H299/F299</f>
        <v/>
      </c>
      <c r="M299" s="4">
        <f>I299/F299</f>
        <v/>
      </c>
      <c r="N299" s="3" t="n">
        <v>68</v>
      </c>
      <c r="O299" s="3" t="n">
        <v>0</v>
      </c>
      <c r="P299" s="2">
        <f>IF(F299&lt;100,"종료 100마리 미만","")</f>
        <v/>
      </c>
    </row>
    <row r="300">
      <c r="A300" s="2">
        <f>RANK(K300,$K$2:$K$454)</f>
        <v/>
      </c>
      <c r="B300" s="2" t="inlineStr">
        <is>
          <t>경기도</t>
        </is>
      </c>
      <c r="C300" s="2" t="inlineStr">
        <is>
          <t>경기도 여주시</t>
        </is>
      </c>
      <c r="D300" s="2" t="inlineStr">
        <is>
          <t>위더스 동물보호센터</t>
        </is>
      </c>
      <c r="E300" s="2" t="inlineStr">
        <is>
          <t>341570201900003</t>
        </is>
      </c>
      <c r="F300" s="3">
        <f>SUM(G300:J300)</f>
        <v/>
      </c>
      <c r="G300" s="3" t="n">
        <v>876</v>
      </c>
      <c r="H300" s="3" t="n">
        <v>835</v>
      </c>
      <c r="I300" s="3" t="n">
        <v>850</v>
      </c>
      <c r="J300" s="3" t="n">
        <v>43</v>
      </c>
      <c r="K300" s="4">
        <f>G300/F300</f>
        <v/>
      </c>
      <c r="L300" s="4">
        <f>H300/F300</f>
        <v/>
      </c>
      <c r="M300" s="4">
        <f>I300/F300</f>
        <v/>
      </c>
      <c r="N300" s="3" t="n">
        <v>42</v>
      </c>
      <c r="O300" s="3" t="n">
        <v>0</v>
      </c>
      <c r="P300" s="2">
        <f>IF(F300&lt;100,"종료 100마리 미만","")</f>
        <v/>
      </c>
    </row>
    <row r="301">
      <c r="A301" s="2">
        <f>RANK(K301,$K$2:$K$454)</f>
        <v/>
      </c>
      <c r="B301" s="2" t="inlineStr">
        <is>
          <t>경상남도</t>
        </is>
      </c>
      <c r="C301" s="2" t="inlineStr">
        <is>
          <t>경상남도 통영시</t>
        </is>
      </c>
      <c r="D301" s="2" t="inlineStr">
        <is>
          <t>통영시동물보호센터</t>
        </is>
      </c>
      <c r="E301" s="2" t="inlineStr">
        <is>
          <t>348533202100001</t>
        </is>
      </c>
      <c r="F301" s="3">
        <f>SUM(G301:J301)</f>
        <v/>
      </c>
      <c r="G301" s="3" t="n">
        <v>289</v>
      </c>
      <c r="H301" s="3" t="n">
        <v>366</v>
      </c>
      <c r="I301" s="3" t="n">
        <v>208</v>
      </c>
      <c r="J301" s="3" t="n">
        <v>11</v>
      </c>
      <c r="K301" s="4">
        <f>G301/F301</f>
        <v/>
      </c>
      <c r="L301" s="4">
        <f>H301/F301</f>
        <v/>
      </c>
      <c r="M301" s="4">
        <f>I301/F301</f>
        <v/>
      </c>
      <c r="N301" s="3" t="n">
        <v>156</v>
      </c>
      <c r="O301" s="3" t="n">
        <v>61</v>
      </c>
      <c r="P301" s="2">
        <f>IF(F301&lt;100,"종료 100마리 미만","")</f>
        <v/>
      </c>
    </row>
    <row r="302">
      <c r="A302" s="2">
        <f>RANK(K302,$K$2:$K$454)</f>
        <v/>
      </c>
      <c r="B302" s="2" t="inlineStr">
        <is>
          <t>경상북도</t>
        </is>
      </c>
      <c r="C302" s="2" t="inlineStr">
        <is>
          <t>경상북도 영천시</t>
        </is>
      </c>
      <c r="D302" s="2" t="inlineStr">
        <is>
          <t>영천유기동물보호센터</t>
        </is>
      </c>
      <c r="E302" s="2" t="inlineStr">
        <is>
          <t>347510201600001</t>
        </is>
      </c>
      <c r="F302" s="3">
        <f>SUM(G302:J302)</f>
        <v/>
      </c>
      <c r="G302" s="3" t="n">
        <v>579</v>
      </c>
      <c r="H302" s="3" t="n">
        <v>542</v>
      </c>
      <c r="I302" s="3" t="n">
        <v>637</v>
      </c>
      <c r="J302" s="3" t="n">
        <v>0</v>
      </c>
      <c r="K302" s="4">
        <f>G302/F302</f>
        <v/>
      </c>
      <c r="L302" s="4">
        <f>H302/F302</f>
        <v/>
      </c>
      <c r="M302" s="4">
        <f>I302/F302</f>
        <v/>
      </c>
      <c r="N302" s="3" t="n">
        <v>132</v>
      </c>
      <c r="O302" s="3" t="n">
        <v>0</v>
      </c>
      <c r="P302" s="2">
        <f>IF(F302&lt;100,"종료 100마리 미만","")</f>
        <v/>
      </c>
    </row>
    <row r="303">
      <c r="A303" s="2">
        <f>RANK(K303,$K$2:$K$454)</f>
        <v/>
      </c>
      <c r="B303" s="2" t="inlineStr">
        <is>
          <t>경기도</t>
        </is>
      </c>
      <c r="C303" s="2" t="inlineStr">
        <is>
          <t>경기도 안산시</t>
        </is>
      </c>
      <c r="D303" s="2" t="inlineStr">
        <is>
          <t>한국야생동물보호협회</t>
        </is>
      </c>
      <c r="E303" s="2" t="inlineStr">
        <is>
          <t>341393200900001</t>
        </is>
      </c>
      <c r="F303" s="3">
        <f>SUM(G303:J303)</f>
        <v/>
      </c>
      <c r="G303" s="3" t="n">
        <v>772</v>
      </c>
      <c r="H303" s="3" t="n">
        <v>887</v>
      </c>
      <c r="I303" s="3" t="n">
        <v>397</v>
      </c>
      <c r="J303" s="3" t="n">
        <v>298</v>
      </c>
      <c r="K303" s="4">
        <f>G303/F303</f>
        <v/>
      </c>
      <c r="L303" s="4">
        <f>H303/F303</f>
        <v/>
      </c>
      <c r="M303" s="4">
        <f>I303/F303</f>
        <v/>
      </c>
      <c r="N303" s="3" t="n">
        <v>1015</v>
      </c>
      <c r="O303" s="3" t="n">
        <v>12</v>
      </c>
      <c r="P303" s="2">
        <f>IF(F303&lt;100,"종료 100마리 미만","")</f>
        <v/>
      </c>
    </row>
    <row r="304">
      <c r="A304" s="2">
        <f>RANK(K304,$K$2:$K$454)</f>
        <v/>
      </c>
      <c r="B304" s="2" t="inlineStr">
        <is>
          <t>경상북도</t>
        </is>
      </c>
      <c r="C304" s="2" t="inlineStr">
        <is>
          <t>경상북도 구미시</t>
        </is>
      </c>
      <c r="D304" s="2" t="inlineStr">
        <is>
          <t>구미시 동물보호센터</t>
        </is>
      </c>
      <c r="E304" s="2" t="inlineStr">
        <is>
          <t>347508202000001</t>
        </is>
      </c>
      <c r="F304" s="3">
        <f>SUM(G304:J304)</f>
        <v/>
      </c>
      <c r="G304" s="3" t="n">
        <v>622</v>
      </c>
      <c r="H304" s="3" t="n">
        <v>724</v>
      </c>
      <c r="I304" s="3" t="n">
        <v>542</v>
      </c>
      <c r="J304" s="3" t="n">
        <v>18</v>
      </c>
      <c r="K304" s="4">
        <f>G304/F304</f>
        <v/>
      </c>
      <c r="L304" s="4">
        <f>H304/F304</f>
        <v/>
      </c>
      <c r="M304" s="4">
        <f>I304/F304</f>
        <v/>
      </c>
      <c r="N304" s="3" t="n">
        <v>414</v>
      </c>
      <c r="O304" s="3" t="n">
        <v>32</v>
      </c>
      <c r="P304" s="2">
        <f>IF(F304&lt;100,"종료 100마리 미만","")</f>
        <v/>
      </c>
    </row>
    <row r="305">
      <c r="A305" s="2">
        <f>RANK(K305,$K$2:$K$454)</f>
        <v/>
      </c>
      <c r="B305" s="2" t="inlineStr">
        <is>
          <t>전남광주통합특별시</t>
        </is>
      </c>
      <c r="C305" s="2" t="inlineStr">
        <is>
          <t>전남광주통합특별시 순천시</t>
        </is>
      </c>
      <c r="D305" s="2" t="inlineStr">
        <is>
          <t>순천시유기동물보호소</t>
        </is>
      </c>
      <c r="E305" s="2" t="inlineStr">
        <is>
          <t>346482201600003</t>
        </is>
      </c>
      <c r="F305" s="3">
        <f>SUM(G305:J305)</f>
        <v/>
      </c>
      <c r="G305" s="3" t="n">
        <v>723</v>
      </c>
      <c r="H305" s="3" t="n">
        <v>291</v>
      </c>
      <c r="I305" s="3" t="n">
        <v>1203</v>
      </c>
      <c r="J305" s="3" t="n">
        <v>0</v>
      </c>
      <c r="K305" s="4">
        <f>G305/F305</f>
        <v/>
      </c>
      <c r="L305" s="4">
        <f>H305/F305</f>
        <v/>
      </c>
      <c r="M305" s="4">
        <f>I305/F305</f>
        <v/>
      </c>
      <c r="N305" s="3" t="n">
        <v>342</v>
      </c>
      <c r="O305" s="3" t="n">
        <v>100</v>
      </c>
      <c r="P305" s="2">
        <f>IF(F305&lt;100,"종료 100마리 미만","")</f>
        <v/>
      </c>
    </row>
    <row r="306">
      <c r="A306" s="2">
        <f>RANK(K306,$K$2:$K$454)</f>
        <v/>
      </c>
      <c r="B306" s="2" t="inlineStr">
        <is>
          <t>전북특별자치도</t>
        </is>
      </c>
      <c r="C306" s="2" t="inlineStr">
        <is>
          <t>전북특별자치도 부안군</t>
        </is>
      </c>
      <c r="D306" s="2" t="inlineStr">
        <is>
          <t>부안군 동물보호센터</t>
        </is>
      </c>
      <c r="E306" s="2" t="inlineStr">
        <is>
          <t>345479202100001</t>
        </is>
      </c>
      <c r="F306" s="3">
        <f>SUM(G306:J306)</f>
        <v/>
      </c>
      <c r="G306" s="3" t="n">
        <v>928</v>
      </c>
      <c r="H306" s="3" t="n">
        <v>359</v>
      </c>
      <c r="I306" s="3" t="n">
        <v>1120</v>
      </c>
      <c r="J306" s="3" t="n">
        <v>439</v>
      </c>
      <c r="K306" s="4">
        <f>G306/F306</f>
        <v/>
      </c>
      <c r="L306" s="4">
        <f>H306/F306</f>
        <v/>
      </c>
      <c r="M306" s="4">
        <f>I306/F306</f>
        <v/>
      </c>
      <c r="N306" s="3" t="n">
        <v>91</v>
      </c>
      <c r="O306" s="3" t="n">
        <v>59</v>
      </c>
      <c r="P306" s="2">
        <f>IF(F306&lt;100,"종료 100마리 미만","")</f>
        <v/>
      </c>
    </row>
    <row r="307">
      <c r="A307" s="2">
        <f>RANK(K307,$K$2:$K$454)</f>
        <v/>
      </c>
      <c r="B307" s="2" t="inlineStr">
        <is>
          <t>경기도</t>
        </is>
      </c>
      <c r="C307" s="2" t="inlineStr">
        <is>
          <t>경기도 군포시</t>
        </is>
      </c>
      <c r="D307" s="2" t="inlineStr">
        <is>
          <t>한국야생동물보호협회</t>
        </is>
      </c>
      <c r="E307" s="2" t="inlineStr">
        <is>
          <t>341402202100001</t>
        </is>
      </c>
      <c r="F307" s="3">
        <f>SUM(G307:J307)</f>
        <v/>
      </c>
      <c r="G307" s="3" t="n">
        <v>117</v>
      </c>
      <c r="H307" s="3" t="n">
        <v>123</v>
      </c>
      <c r="I307" s="3" t="n">
        <v>72</v>
      </c>
      <c r="J307" s="3" t="n">
        <v>47</v>
      </c>
      <c r="K307" s="4">
        <f>G307/F307</f>
        <v/>
      </c>
      <c r="L307" s="4">
        <f>H307/F307</f>
        <v/>
      </c>
      <c r="M307" s="4">
        <f>I307/F307</f>
        <v/>
      </c>
      <c r="N307" s="3" t="n">
        <v>190</v>
      </c>
      <c r="O307" s="3" t="n">
        <v>5</v>
      </c>
      <c r="P307" s="2">
        <f>IF(F307&lt;100,"종료 100마리 미만","")</f>
        <v/>
      </c>
    </row>
    <row r="308">
      <c r="A308" s="2">
        <f>RANK(K308,$K$2:$K$454)</f>
        <v/>
      </c>
      <c r="B308" s="2" t="inlineStr">
        <is>
          <t>경상북도</t>
        </is>
      </c>
      <c r="C308" s="2" t="inlineStr">
        <is>
          <t>경상북도 김천시</t>
        </is>
      </c>
      <c r="D308" s="2" t="inlineStr">
        <is>
          <t>김천시 동물보호센터</t>
        </is>
      </c>
      <c r="E308" s="2" t="inlineStr">
        <is>
          <t>347506201300001</t>
        </is>
      </c>
      <c r="F308" s="3">
        <f>SUM(G308:J308)</f>
        <v/>
      </c>
      <c r="G308" s="3" t="n">
        <v>474</v>
      </c>
      <c r="H308" s="3" t="n">
        <v>550</v>
      </c>
      <c r="I308" s="3" t="n">
        <v>443</v>
      </c>
      <c r="J308" s="3" t="n">
        <v>6</v>
      </c>
      <c r="K308" s="4">
        <f>G308/F308</f>
        <v/>
      </c>
      <c r="L308" s="4">
        <f>H308/F308</f>
        <v/>
      </c>
      <c r="M308" s="4">
        <f>I308/F308</f>
        <v/>
      </c>
      <c r="N308" s="3" t="n">
        <v>295</v>
      </c>
      <c r="O308" s="3" t="n">
        <v>27</v>
      </c>
      <c r="P308" s="2">
        <f>IF(F308&lt;100,"종료 100마리 미만","")</f>
        <v/>
      </c>
    </row>
    <row r="309">
      <c r="A309" s="2">
        <f>RANK(K309,$K$2:$K$454)</f>
        <v/>
      </c>
      <c r="B309" s="2" t="inlineStr">
        <is>
          <t>충청남도</t>
        </is>
      </c>
      <c r="C309" s="2" t="inlineStr">
        <is>
          <t>충청남도 금산군</t>
        </is>
      </c>
      <c r="D309" s="2" t="inlineStr">
        <is>
          <t>월드동물병원</t>
        </is>
      </c>
      <c r="E309" s="2" t="inlineStr">
        <is>
          <t>344455202100001</t>
        </is>
      </c>
      <c r="F309" s="3">
        <f>SUM(G309:J309)</f>
        <v/>
      </c>
      <c r="G309" s="3" t="n">
        <v>100</v>
      </c>
      <c r="H309" s="3" t="n">
        <v>177</v>
      </c>
      <c r="I309" s="3" t="n">
        <v>38</v>
      </c>
      <c r="J309" s="3" t="n">
        <v>0</v>
      </c>
      <c r="K309" s="4">
        <f>G309/F309</f>
        <v/>
      </c>
      <c r="L309" s="4">
        <f>H309/F309</f>
        <v/>
      </c>
      <c r="M309" s="4">
        <f>I309/F309</f>
        <v/>
      </c>
      <c r="N309" s="3" t="n">
        <v>50</v>
      </c>
      <c r="O309" s="3" t="n">
        <v>16</v>
      </c>
      <c r="P309" s="2">
        <f>IF(F309&lt;100,"종료 100마리 미만","")</f>
        <v/>
      </c>
    </row>
    <row r="310">
      <c r="A310" s="2">
        <f>RANK(K310,$K$2:$K$454)</f>
        <v/>
      </c>
      <c r="B310" s="2" t="inlineStr">
        <is>
          <t>전북특별자치도</t>
        </is>
      </c>
      <c r="C310" s="2" t="inlineStr">
        <is>
          <t>전북특별자치도 완주군</t>
        </is>
      </c>
      <c r="D310" s="2" t="inlineStr">
        <is>
          <t>도담</t>
        </is>
      </c>
      <c r="E310" s="2" t="inlineStr">
        <is>
          <t>345472202200001</t>
        </is>
      </c>
      <c r="F310" s="3">
        <f>SUM(G310:J310)</f>
        <v/>
      </c>
      <c r="G310" s="3" t="n">
        <v>79</v>
      </c>
      <c r="H310" s="3" t="n">
        <v>0</v>
      </c>
      <c r="I310" s="3" t="n">
        <v>91</v>
      </c>
      <c r="J310" s="3" t="n">
        <v>81</v>
      </c>
      <c r="K310" s="4">
        <f>G310/F310</f>
        <v/>
      </c>
      <c r="L310" s="4">
        <f>H310/F310</f>
        <v/>
      </c>
      <c r="M310" s="4">
        <f>I310/F310</f>
        <v/>
      </c>
      <c r="N310" s="3" t="n">
        <v>13</v>
      </c>
      <c r="O310" s="3" t="n">
        <v>0</v>
      </c>
      <c r="P310" s="2">
        <f>IF(F310&lt;100,"종료 100마리 미만","")</f>
        <v/>
      </c>
    </row>
    <row r="311">
      <c r="A311" s="2">
        <f>RANK(K311,$K$2:$K$454)</f>
        <v/>
      </c>
      <c r="B311" s="2" t="inlineStr">
        <is>
          <t>경기도</t>
        </is>
      </c>
      <c r="C311" s="2" t="inlineStr">
        <is>
          <t>경기도 오산시</t>
        </is>
      </c>
      <c r="D311" s="2" t="inlineStr">
        <is>
          <t>오산 유기동물보호소</t>
        </is>
      </c>
      <c r="E311" s="2" t="inlineStr">
        <is>
          <t>341400200900001</t>
        </is>
      </c>
      <c r="F311" s="3">
        <f>SUM(G311:J311)</f>
        <v/>
      </c>
      <c r="G311" s="3" t="n">
        <v>205</v>
      </c>
      <c r="H311" s="3" t="n">
        <v>278</v>
      </c>
      <c r="I311" s="3" t="n">
        <v>168</v>
      </c>
      <c r="J311" s="3" t="n">
        <v>1</v>
      </c>
      <c r="K311" s="4">
        <f>G311/F311</f>
        <v/>
      </c>
      <c r="L311" s="4">
        <f>H311/F311</f>
        <v/>
      </c>
      <c r="M311" s="4">
        <f>I311/F311</f>
        <v/>
      </c>
      <c r="N311" s="3" t="n">
        <v>277</v>
      </c>
      <c r="O311" s="3" t="n">
        <v>0</v>
      </c>
      <c r="P311" s="2">
        <f>IF(F311&lt;100,"종료 100마리 미만","")</f>
        <v/>
      </c>
    </row>
    <row r="312">
      <c r="A312" s="2">
        <f>RANK(K312,$K$2:$K$454)</f>
        <v/>
      </c>
      <c r="B312" s="2" t="inlineStr">
        <is>
          <t>전북특별자치도</t>
        </is>
      </c>
      <c r="C312" s="2" t="inlineStr">
        <is>
          <t>전북특별자치도 장수군</t>
        </is>
      </c>
      <c r="D312" s="2" t="inlineStr">
        <is>
          <t>제이준동물병원</t>
        </is>
      </c>
      <c r="E312" s="2" t="inlineStr">
        <is>
          <t>345475202100001</t>
        </is>
      </c>
      <c r="F312" s="3">
        <f>SUM(G312:J312)</f>
        <v/>
      </c>
      <c r="G312" s="3" t="n">
        <v>51</v>
      </c>
      <c r="H312" s="3" t="n">
        <v>94</v>
      </c>
      <c r="I312" s="3" t="n">
        <v>19</v>
      </c>
      <c r="J312" s="3" t="n">
        <v>0</v>
      </c>
      <c r="K312" s="4">
        <f>G312/F312</f>
        <v/>
      </c>
      <c r="L312" s="4">
        <f>H312/F312</f>
        <v/>
      </c>
      <c r="M312" s="4">
        <f>I312/F312</f>
        <v/>
      </c>
      <c r="N312" s="3" t="n">
        <v>7</v>
      </c>
      <c r="O312" s="3" t="n">
        <v>3</v>
      </c>
      <c r="P312" s="2">
        <f>IF(F312&lt;100,"종료 100마리 미만","")</f>
        <v/>
      </c>
    </row>
    <row r="313">
      <c r="A313" s="2">
        <f>RANK(K313,$K$2:$K$454)</f>
        <v/>
      </c>
      <c r="B313" s="2" t="inlineStr">
        <is>
          <t>경기도</t>
        </is>
      </c>
      <c r="C313" s="2" t="inlineStr">
        <is>
          <t>경기도 남양주시</t>
        </is>
      </c>
      <c r="D313" s="2" t="inlineStr">
        <is>
          <t>남양주동물보호협회</t>
        </is>
      </c>
      <c r="E313" s="2" t="inlineStr">
        <is>
          <t>341399201500001</t>
        </is>
      </c>
      <c r="F313" s="3">
        <f>SUM(G313:J313)</f>
        <v/>
      </c>
      <c r="G313" s="3" t="n">
        <v>562</v>
      </c>
      <c r="H313" s="3" t="n">
        <v>688</v>
      </c>
      <c r="I313" s="3" t="n">
        <v>552</v>
      </c>
      <c r="J313" s="3" t="n">
        <v>12</v>
      </c>
      <c r="K313" s="4">
        <f>G313/F313</f>
        <v/>
      </c>
      <c r="L313" s="4">
        <f>H313/F313</f>
        <v/>
      </c>
      <c r="M313" s="4">
        <f>I313/F313</f>
        <v/>
      </c>
      <c r="N313" s="3" t="n">
        <v>519</v>
      </c>
      <c r="O313" s="3" t="n">
        <v>0</v>
      </c>
      <c r="P313" s="2">
        <f>IF(F313&lt;100,"종료 100마리 미만","")</f>
        <v/>
      </c>
    </row>
    <row r="314">
      <c r="A314" s="2">
        <f>RANK(K314,$K$2:$K$454)</f>
        <v/>
      </c>
      <c r="B314" s="2" t="inlineStr">
        <is>
          <t>전남광주통합특별시</t>
        </is>
      </c>
      <c r="C314" s="2" t="inlineStr">
        <is>
          <t>전남광주통합특별시 무안군</t>
        </is>
      </c>
      <c r="D314" s="2" t="inlineStr">
        <is>
          <t>무안군유기동물보호소</t>
        </is>
      </c>
      <c r="E314" s="2" t="inlineStr">
        <is>
          <t>346495202100001</t>
        </is>
      </c>
      <c r="F314" s="3">
        <f>SUM(G314:J314)</f>
        <v/>
      </c>
      <c r="G314" s="3" t="n">
        <v>523</v>
      </c>
      <c r="H314" s="3" t="n">
        <v>546</v>
      </c>
      <c r="I314" s="3" t="n">
        <v>583</v>
      </c>
      <c r="J314" s="3" t="n">
        <v>65</v>
      </c>
      <c r="K314" s="4">
        <f>G314/F314</f>
        <v/>
      </c>
      <c r="L314" s="4">
        <f>H314/F314</f>
        <v/>
      </c>
      <c r="M314" s="4">
        <f>I314/F314</f>
        <v/>
      </c>
      <c r="N314" s="3" t="n">
        <v>70</v>
      </c>
      <c r="O314" s="3" t="n">
        <v>2</v>
      </c>
      <c r="P314" s="2">
        <f>IF(F314&lt;100,"종료 100마리 미만","")</f>
        <v/>
      </c>
    </row>
    <row r="315">
      <c r="A315" s="2">
        <f>RANK(K315,$K$2:$K$454)</f>
        <v/>
      </c>
      <c r="B315" s="2" t="inlineStr">
        <is>
          <t>경상남도</t>
        </is>
      </c>
      <c r="C315" s="2" t="inlineStr">
        <is>
          <t>경상남도 김해시</t>
        </is>
      </c>
      <c r="D315" s="2" t="inlineStr">
        <is>
          <t>유기동물및관리협회</t>
        </is>
      </c>
      <c r="E315" s="2" t="inlineStr">
        <is>
          <t>348535201200001</t>
        </is>
      </c>
      <c r="F315" s="3">
        <f>SUM(G315:J315)</f>
        <v/>
      </c>
      <c r="G315" s="3" t="n">
        <v>413</v>
      </c>
      <c r="H315" s="3" t="n">
        <v>175</v>
      </c>
      <c r="I315" s="3" t="n">
        <v>769</v>
      </c>
      <c r="J315" s="3" t="n">
        <v>1</v>
      </c>
      <c r="K315" s="4">
        <f>G315/F315</f>
        <v/>
      </c>
      <c r="L315" s="4">
        <f>H315/F315</f>
        <v/>
      </c>
      <c r="M315" s="4">
        <f>I315/F315</f>
        <v/>
      </c>
      <c r="N315" s="3" t="n">
        <v>150</v>
      </c>
      <c r="O315" s="3" t="n">
        <v>0</v>
      </c>
      <c r="P315" s="2">
        <f>IF(F315&lt;100,"종료 100마리 미만","")</f>
        <v/>
      </c>
    </row>
    <row r="316">
      <c r="A316" s="2">
        <f>RANK(K316,$K$2:$K$454)</f>
        <v/>
      </c>
      <c r="B316" s="2" t="inlineStr">
        <is>
          <t>충청남도</t>
        </is>
      </c>
      <c r="C316" s="2" t="inlineStr">
        <is>
          <t>충청남도 논산시</t>
        </is>
      </c>
      <c r="D316" s="2" t="inlineStr">
        <is>
          <t>유명동물병원</t>
        </is>
      </c>
      <c r="E316" s="2" t="inlineStr">
        <is>
          <t>344454201400001</t>
        </is>
      </c>
      <c r="F316" s="3">
        <f>SUM(G316:J316)</f>
        <v/>
      </c>
      <c r="G316" s="3" t="n">
        <v>61</v>
      </c>
      <c r="H316" s="3" t="n">
        <v>48</v>
      </c>
      <c r="I316" s="3" t="n">
        <v>92</v>
      </c>
      <c r="J316" s="3" t="n">
        <v>0</v>
      </c>
      <c r="K316" s="4">
        <f>G316/F316</f>
        <v/>
      </c>
      <c r="L316" s="4">
        <f>H316/F316</f>
        <v/>
      </c>
      <c r="M316" s="4">
        <f>I316/F316</f>
        <v/>
      </c>
      <c r="N316" s="3" t="n">
        <v>3</v>
      </c>
      <c r="O316" s="3" t="n">
        <v>0</v>
      </c>
      <c r="P316" s="2">
        <f>IF(F316&lt;100,"종료 100마리 미만","")</f>
        <v/>
      </c>
    </row>
    <row r="317">
      <c r="A317" s="2">
        <f>RANK(K317,$K$2:$K$454)</f>
        <v/>
      </c>
      <c r="B317" s="2" t="inlineStr">
        <is>
          <t>인천광역시</t>
        </is>
      </c>
      <c r="C317" s="2" t="inlineStr">
        <is>
          <t>인천광역시 옹진군</t>
        </is>
      </c>
      <c r="D317" s="2" t="inlineStr">
        <is>
          <t>인천수의사회유기동물</t>
        </is>
      </c>
      <c r="E317" s="2" t="inlineStr">
        <is>
          <t>328358201000001</t>
        </is>
      </c>
      <c r="F317" s="3">
        <f>SUM(G317:J317)</f>
        <v/>
      </c>
      <c r="G317" s="3" t="n">
        <v>125</v>
      </c>
      <c r="H317" s="3" t="n">
        <v>67</v>
      </c>
      <c r="I317" s="3" t="n">
        <v>148</v>
      </c>
      <c r="J317" s="3" t="n">
        <v>72</v>
      </c>
      <c r="K317" s="4">
        <f>G317/F317</f>
        <v/>
      </c>
      <c r="L317" s="4">
        <f>H317/F317</f>
        <v/>
      </c>
      <c r="M317" s="4">
        <f>I317/F317</f>
        <v/>
      </c>
      <c r="N317" s="3" t="n">
        <v>6</v>
      </c>
      <c r="O317" s="3" t="n">
        <v>0</v>
      </c>
      <c r="P317" s="2">
        <f>IF(F317&lt;100,"종료 100마리 미만","")</f>
        <v/>
      </c>
    </row>
    <row r="318">
      <c r="A318" s="2">
        <f>RANK(K318,$K$2:$K$454)</f>
        <v/>
      </c>
      <c r="B318" s="2" t="inlineStr">
        <is>
          <t>경상남도</t>
        </is>
      </c>
      <c r="C318" s="2" t="inlineStr">
        <is>
          <t>경상남도 진주시</t>
        </is>
      </c>
      <c r="D318" s="2" t="inlineStr">
        <is>
          <t>진주시동물보호센터</t>
        </is>
      </c>
      <c r="E318" s="2" t="inlineStr">
        <is>
          <t>348531201000001</t>
        </is>
      </c>
      <c r="F318" s="3">
        <f>SUM(G318:J318)</f>
        <v/>
      </c>
      <c r="G318" s="3" t="n">
        <v>861</v>
      </c>
      <c r="H318" s="3" t="n">
        <v>1251</v>
      </c>
      <c r="I318" s="3" t="n">
        <v>646</v>
      </c>
      <c r="J318" s="3" t="n">
        <v>110</v>
      </c>
      <c r="K318" s="4">
        <f>G318/F318</f>
        <v/>
      </c>
      <c r="L318" s="4">
        <f>H318/F318</f>
        <v/>
      </c>
      <c r="M318" s="4">
        <f>I318/F318</f>
        <v/>
      </c>
      <c r="N318" s="3" t="n">
        <v>243</v>
      </c>
      <c r="O318" s="3" t="n">
        <v>60</v>
      </c>
      <c r="P318" s="2">
        <f>IF(F318&lt;100,"종료 100마리 미만","")</f>
        <v/>
      </c>
    </row>
    <row r="319">
      <c r="A319" s="2">
        <f>RANK(K319,$K$2:$K$454)</f>
        <v/>
      </c>
      <c r="B319" s="2" t="inlineStr">
        <is>
          <t>충청남도</t>
        </is>
      </c>
      <c r="C319" s="2" t="inlineStr">
        <is>
          <t>충청남도 예산군</t>
        </is>
      </c>
      <c r="D319" s="2" t="inlineStr">
        <is>
          <t>예산동물보호센터</t>
        </is>
      </c>
      <c r="E319" s="2" t="inlineStr">
        <is>
          <t>344461201900001</t>
        </is>
      </c>
      <c r="F319" s="3">
        <f>SUM(G319:J319)</f>
        <v/>
      </c>
      <c r="G319" s="3" t="n">
        <v>493</v>
      </c>
      <c r="H319" s="3" t="n">
        <v>530</v>
      </c>
      <c r="I319" s="3" t="n">
        <v>619</v>
      </c>
      <c r="J319" s="3" t="n">
        <v>4</v>
      </c>
      <c r="K319" s="4">
        <f>G319/F319</f>
        <v/>
      </c>
      <c r="L319" s="4">
        <f>H319/F319</f>
        <v/>
      </c>
      <c r="M319" s="4">
        <f>I319/F319</f>
        <v/>
      </c>
      <c r="N319" s="3" t="n">
        <v>94</v>
      </c>
      <c r="O319" s="3" t="n">
        <v>7</v>
      </c>
      <c r="P319" s="2">
        <f>IF(F319&lt;100,"종료 100마리 미만","")</f>
        <v/>
      </c>
    </row>
    <row r="320">
      <c r="A320" s="2">
        <f>RANK(K320,$K$2:$K$454)</f>
        <v/>
      </c>
      <c r="B320" s="2" t="inlineStr">
        <is>
          <t>충청남도</t>
        </is>
      </c>
      <c r="C320" s="2" t="inlineStr">
        <is>
          <t>충청남도 금산군</t>
        </is>
      </c>
      <c r="D320" s="2" t="inlineStr">
        <is>
          <t>제일동물병원</t>
        </is>
      </c>
      <c r="E320" s="2" t="inlineStr">
        <is>
          <t>344455202300001</t>
        </is>
      </c>
      <c r="F320" s="3">
        <f>SUM(G320:J320)</f>
        <v/>
      </c>
      <c r="G320" s="3" t="n">
        <v>183</v>
      </c>
      <c r="H320" s="3" t="n">
        <v>294</v>
      </c>
      <c r="I320" s="3" t="n">
        <v>132</v>
      </c>
      <c r="J320" s="3" t="n">
        <v>4</v>
      </c>
      <c r="K320" s="4">
        <f>G320/F320</f>
        <v/>
      </c>
      <c r="L320" s="4">
        <f>H320/F320</f>
        <v/>
      </c>
      <c r="M320" s="4">
        <f>I320/F320</f>
        <v/>
      </c>
      <c r="N320" s="3" t="n">
        <v>77</v>
      </c>
      <c r="O320" s="3" t="n">
        <v>0</v>
      </c>
      <c r="P320" s="2">
        <f>IF(F320&lt;100,"종료 100마리 미만","")</f>
        <v/>
      </c>
    </row>
    <row r="321">
      <c r="A321" s="2">
        <f>RANK(K321,$K$2:$K$454)</f>
        <v/>
      </c>
      <c r="B321" s="2" t="inlineStr">
        <is>
          <t>경기도</t>
        </is>
      </c>
      <c r="C321" s="2" t="inlineStr">
        <is>
          <t>경기도 안양시</t>
        </is>
      </c>
      <c r="D321" s="2" t="inlineStr">
        <is>
          <t>한국야생동물보호협회</t>
        </is>
      </c>
      <c r="E321" s="2" t="inlineStr">
        <is>
          <t>341383201300001</t>
        </is>
      </c>
      <c r="F321" s="3">
        <f>SUM(G321:J321)</f>
        <v/>
      </c>
      <c r="G321" s="3" t="n">
        <v>119</v>
      </c>
      <c r="H321" s="3" t="n">
        <v>161</v>
      </c>
      <c r="I321" s="3" t="n">
        <v>88</v>
      </c>
      <c r="J321" s="3" t="n">
        <v>37</v>
      </c>
      <c r="K321" s="4">
        <f>G321/F321</f>
        <v/>
      </c>
      <c r="L321" s="4">
        <f>H321/F321</f>
        <v/>
      </c>
      <c r="M321" s="4">
        <f>I321/F321</f>
        <v/>
      </c>
      <c r="N321" s="3" t="n">
        <v>284</v>
      </c>
      <c r="O321" s="3" t="n">
        <v>3</v>
      </c>
      <c r="P321" s="2">
        <f>IF(F321&lt;100,"종료 100마리 미만","")</f>
        <v/>
      </c>
    </row>
    <row r="322">
      <c r="A322" s="2">
        <f>RANK(K322,$K$2:$K$454)</f>
        <v/>
      </c>
      <c r="B322" s="2" t="inlineStr">
        <is>
          <t>대구광역시</t>
        </is>
      </c>
      <c r="C322" s="2" t="inlineStr">
        <is>
          <t>대구광역시 북구</t>
        </is>
      </c>
      <c r="D322" s="2" t="inlineStr">
        <is>
          <t>대구유기동물보호협회</t>
        </is>
      </c>
      <c r="E322" s="2" t="inlineStr">
        <is>
          <t>327345201400001</t>
        </is>
      </c>
      <c r="F322" s="3">
        <f>SUM(G322:J322)</f>
        <v/>
      </c>
      <c r="G322" s="3" t="n">
        <v>173</v>
      </c>
      <c r="H322" s="3" t="n">
        <v>322</v>
      </c>
      <c r="I322" s="3" t="n">
        <v>97</v>
      </c>
      <c r="J322" s="3" t="n">
        <v>0</v>
      </c>
      <c r="K322" s="4">
        <f>G322/F322</f>
        <v/>
      </c>
      <c r="L322" s="4">
        <f>H322/F322</f>
        <v/>
      </c>
      <c r="M322" s="4">
        <f>I322/F322</f>
        <v/>
      </c>
      <c r="N322" s="3" t="n">
        <v>280</v>
      </c>
      <c r="O322" s="3" t="n">
        <v>1</v>
      </c>
      <c r="P322" s="2">
        <f>IF(F322&lt;100,"종료 100마리 미만","")</f>
        <v/>
      </c>
    </row>
    <row r="323">
      <c r="A323" s="2">
        <f>RANK(K323,$K$2:$K$454)</f>
        <v/>
      </c>
      <c r="B323" s="2" t="inlineStr">
        <is>
          <t>강원특별자치도</t>
        </is>
      </c>
      <c r="C323" s="2" t="inlineStr">
        <is>
          <t>강원특별자치도 철원군</t>
        </is>
      </c>
      <c r="D323" s="2" t="inlineStr">
        <is>
          <t>철원군</t>
        </is>
      </c>
      <c r="E323" s="2" t="inlineStr">
        <is>
          <t>342430201900001</t>
        </is>
      </c>
      <c r="F323" s="3">
        <f>SUM(G323:J323)</f>
        <v/>
      </c>
      <c r="G323" s="3" t="n">
        <v>219</v>
      </c>
      <c r="H323" s="3" t="n">
        <v>246</v>
      </c>
      <c r="I323" s="3" t="n">
        <v>287</v>
      </c>
      <c r="J323" s="3" t="n">
        <v>11</v>
      </c>
      <c r="K323" s="4">
        <f>G323/F323</f>
        <v/>
      </c>
      <c r="L323" s="4">
        <f>H323/F323</f>
        <v/>
      </c>
      <c r="M323" s="4">
        <f>I323/F323</f>
        <v/>
      </c>
      <c r="N323" s="3" t="n">
        <v>90</v>
      </c>
      <c r="O323" s="3" t="n">
        <v>1</v>
      </c>
      <c r="P323" s="2">
        <f>IF(F323&lt;100,"종료 100마리 미만","")</f>
        <v/>
      </c>
    </row>
    <row r="324">
      <c r="A324" s="2">
        <f>RANK(K324,$K$2:$K$454)</f>
        <v/>
      </c>
      <c r="B324" s="2" t="inlineStr">
        <is>
          <t>충청북도</t>
        </is>
      </c>
      <c r="C324" s="2" t="inlineStr">
        <is>
          <t>충청북도 괴산군</t>
        </is>
      </c>
      <c r="D324" s="2" t="inlineStr">
        <is>
          <t>괴산증평동물보호센터</t>
        </is>
      </c>
      <c r="E324" s="2" t="inlineStr">
        <is>
          <t>343446201800002</t>
        </is>
      </c>
      <c r="F324" s="3">
        <f>SUM(G324:J324)</f>
        <v/>
      </c>
      <c r="G324" s="3" t="n">
        <v>322</v>
      </c>
      <c r="H324" s="3" t="n">
        <v>450</v>
      </c>
      <c r="I324" s="3" t="n">
        <v>346</v>
      </c>
      <c r="J324" s="3" t="n">
        <v>6</v>
      </c>
      <c r="K324" s="4">
        <f>G324/F324</f>
        <v/>
      </c>
      <c r="L324" s="4">
        <f>H324/F324</f>
        <v/>
      </c>
      <c r="M324" s="4">
        <f>I324/F324</f>
        <v/>
      </c>
      <c r="N324" s="3" t="n">
        <v>177</v>
      </c>
      <c r="O324" s="3" t="n">
        <v>12</v>
      </c>
      <c r="P324" s="2">
        <f>IF(F324&lt;100,"종료 100마리 미만","")</f>
        <v/>
      </c>
    </row>
    <row r="325">
      <c r="A325" s="2">
        <f>RANK(K325,$K$2:$K$454)</f>
        <v/>
      </c>
      <c r="B325" s="2" t="inlineStr">
        <is>
          <t>경기도</t>
        </is>
      </c>
      <c r="C325" s="2" t="inlineStr">
        <is>
          <t>경기도 구리시</t>
        </is>
      </c>
      <c r="D325" s="2" t="inlineStr">
        <is>
          <t>한국동물구조관리협회</t>
        </is>
      </c>
      <c r="E325" s="2" t="inlineStr">
        <is>
          <t>341398200900001</t>
        </is>
      </c>
      <c r="F325" s="3">
        <f>SUM(G325:J325)</f>
        <v/>
      </c>
      <c r="G325" s="3" t="n">
        <v>108</v>
      </c>
      <c r="H325" s="3" t="n">
        <v>140</v>
      </c>
      <c r="I325" s="3" t="n">
        <v>16</v>
      </c>
      <c r="J325" s="3" t="n">
        <v>113</v>
      </c>
      <c r="K325" s="4">
        <f>G325/F325</f>
        <v/>
      </c>
      <c r="L325" s="4">
        <f>H325/F325</f>
        <v/>
      </c>
      <c r="M325" s="4">
        <f>I325/F325</f>
        <v/>
      </c>
      <c r="N325" s="3" t="n">
        <v>125</v>
      </c>
      <c r="O325" s="3" t="n">
        <v>1</v>
      </c>
      <c r="P325" s="2">
        <f>IF(F325&lt;100,"종료 100마리 미만","")</f>
        <v/>
      </c>
    </row>
    <row r="326">
      <c r="A326" s="2">
        <f>RANK(K326,$K$2:$K$454)</f>
        <v/>
      </c>
      <c r="B326" s="2" t="inlineStr">
        <is>
          <t>경기도</t>
        </is>
      </c>
      <c r="C326" s="2" t="inlineStr">
        <is>
          <t>경기도 동두천시</t>
        </is>
      </c>
      <c r="D326" s="2" t="inlineStr">
        <is>
          <t>한국동물구조관리협회</t>
        </is>
      </c>
      <c r="E326" s="2" t="inlineStr">
        <is>
          <t>341392201300001</t>
        </is>
      </c>
      <c r="F326" s="3">
        <f>SUM(G326:J326)</f>
        <v/>
      </c>
      <c r="G326" s="3" t="n">
        <v>180</v>
      </c>
      <c r="H326" s="3" t="n">
        <v>373</v>
      </c>
      <c r="I326" s="3" t="n">
        <v>60</v>
      </c>
      <c r="J326" s="3" t="n">
        <v>23</v>
      </c>
      <c r="K326" s="4">
        <f>G326/F326</f>
        <v/>
      </c>
      <c r="L326" s="4">
        <f>H326/F326</f>
        <v/>
      </c>
      <c r="M326" s="4">
        <f>I326/F326</f>
        <v/>
      </c>
      <c r="N326" s="3" t="n">
        <v>213</v>
      </c>
      <c r="O326" s="3" t="n">
        <v>2</v>
      </c>
      <c r="P326" s="2">
        <f>IF(F326&lt;100,"종료 100마리 미만","")</f>
        <v/>
      </c>
    </row>
    <row r="327">
      <c r="A327" s="2">
        <f>RANK(K327,$K$2:$K$454)</f>
        <v/>
      </c>
      <c r="B327" s="2" t="inlineStr">
        <is>
          <t>경상남도</t>
        </is>
      </c>
      <c r="C327" s="2" t="inlineStr">
        <is>
          <t>경상남도 거제시</t>
        </is>
      </c>
      <c r="D327" s="2" t="inlineStr">
        <is>
          <t>거제시동물보호센터</t>
        </is>
      </c>
      <c r="E327" s="2" t="inlineStr">
        <is>
          <t>348537200900002</t>
        </is>
      </c>
      <c r="F327" s="3">
        <f>SUM(G327:J327)</f>
        <v/>
      </c>
      <c r="G327" s="3" t="n">
        <v>581</v>
      </c>
      <c r="H327" s="3" t="n">
        <v>556</v>
      </c>
      <c r="I327" s="3" t="n">
        <v>677</v>
      </c>
      <c r="J327" s="3" t="n">
        <v>239</v>
      </c>
      <c r="K327" s="4">
        <f>G327/F327</f>
        <v/>
      </c>
      <c r="L327" s="4">
        <f>H327/F327</f>
        <v/>
      </c>
      <c r="M327" s="4">
        <f>I327/F327</f>
        <v/>
      </c>
      <c r="N327" s="3" t="n">
        <v>400</v>
      </c>
      <c r="O327" s="3" t="n">
        <v>25</v>
      </c>
      <c r="P327" s="2">
        <f>IF(F327&lt;100,"종료 100마리 미만","")</f>
        <v/>
      </c>
    </row>
    <row r="328">
      <c r="A328" s="2">
        <f>RANK(K328,$K$2:$K$454)</f>
        <v/>
      </c>
      <c r="B328" s="2" t="inlineStr">
        <is>
          <t>서울특별시</t>
        </is>
      </c>
      <c r="C328" s="2" t="inlineStr">
        <is>
          <t>서울특별시 강동구</t>
        </is>
      </c>
      <c r="D328" s="2" t="inlineStr">
        <is>
          <t>한국동물구조관리협회</t>
        </is>
      </c>
      <c r="E328" s="2" t="inlineStr">
        <is>
          <t>311324201200001</t>
        </is>
      </c>
      <c r="F328" s="3">
        <f>SUM(G328:J328)</f>
        <v/>
      </c>
      <c r="G328" s="3" t="n">
        <v>13</v>
      </c>
      <c r="H328" s="3" t="n">
        <v>28</v>
      </c>
      <c r="I328" s="3" t="n">
        <v>4</v>
      </c>
      <c r="J328" s="3" t="n">
        <v>1</v>
      </c>
      <c r="K328" s="4">
        <f>G328/F328</f>
        <v/>
      </c>
      <c r="L328" s="4">
        <f>H328/F328</f>
        <v/>
      </c>
      <c r="M328" s="4">
        <f>I328/F328</f>
        <v/>
      </c>
      <c r="N328" s="3" t="n">
        <v>31</v>
      </c>
      <c r="O328" s="3" t="n">
        <v>0</v>
      </c>
      <c r="P328" s="2">
        <f>IF(F328&lt;100,"종료 100마리 미만","")</f>
        <v/>
      </c>
    </row>
    <row r="329">
      <c r="A329" s="2">
        <f>RANK(K329,$K$2:$K$454)</f>
        <v/>
      </c>
      <c r="B329" s="2" t="inlineStr">
        <is>
          <t>충청북도</t>
        </is>
      </c>
      <c r="C329" s="2" t="inlineStr">
        <is>
          <t>충청북도 증평군</t>
        </is>
      </c>
      <c r="D329" s="2" t="inlineStr">
        <is>
          <t>가정견훈련소</t>
        </is>
      </c>
      <c r="E329" s="2" t="inlineStr">
        <is>
          <t>343557202300001</t>
        </is>
      </c>
      <c r="F329" s="3">
        <f>SUM(G329:J329)</f>
        <v/>
      </c>
      <c r="G329" s="3" t="n">
        <v>38</v>
      </c>
      <c r="H329" s="3" t="n">
        <v>65</v>
      </c>
      <c r="I329" s="3" t="n">
        <v>32</v>
      </c>
      <c r="J329" s="3" t="n">
        <v>0</v>
      </c>
      <c r="K329" s="4">
        <f>G329/F329</f>
        <v/>
      </c>
      <c r="L329" s="4">
        <f>H329/F329</f>
        <v/>
      </c>
      <c r="M329" s="4">
        <f>I329/F329</f>
        <v/>
      </c>
      <c r="N329" s="3" t="n">
        <v>43</v>
      </c>
      <c r="O329" s="3" t="n">
        <v>2</v>
      </c>
      <c r="P329" s="2">
        <f>IF(F329&lt;100,"종료 100마리 미만","")</f>
        <v/>
      </c>
    </row>
    <row r="330">
      <c r="A330" s="2">
        <f>RANK(K330,$K$2:$K$454)</f>
        <v/>
      </c>
      <c r="B330" s="2" t="inlineStr">
        <is>
          <t>인천광역시</t>
        </is>
      </c>
      <c r="C330" s="2" t="inlineStr">
        <is>
          <t>인천광역시 강화군</t>
        </is>
      </c>
      <c r="D330" s="2" t="inlineStr">
        <is>
          <t>베스트동물병원</t>
        </is>
      </c>
      <c r="E330" s="2" t="inlineStr">
        <is>
          <t>328357200900001</t>
        </is>
      </c>
      <c r="F330" s="3">
        <f>SUM(G330:J330)</f>
        <v/>
      </c>
      <c r="G330" s="3" t="n">
        <v>572</v>
      </c>
      <c r="H330" s="3" t="n">
        <v>1013</v>
      </c>
      <c r="I330" s="3" t="n">
        <v>415</v>
      </c>
      <c r="J330" s="3" t="n">
        <v>42</v>
      </c>
      <c r="K330" s="4">
        <f>G330/F330</f>
        <v/>
      </c>
      <c r="L330" s="4">
        <f>H330/F330</f>
        <v/>
      </c>
      <c r="M330" s="4">
        <f>I330/F330</f>
        <v/>
      </c>
      <c r="N330" s="3" t="n">
        <v>188</v>
      </c>
      <c r="O330" s="3" t="n">
        <v>0</v>
      </c>
      <c r="P330" s="2">
        <f>IF(F330&lt;100,"종료 100마리 미만","")</f>
        <v/>
      </c>
    </row>
    <row r="331">
      <c r="A331" s="2">
        <f>RANK(K331,$K$2:$K$454)</f>
        <v/>
      </c>
      <c r="B331" s="2" t="inlineStr">
        <is>
          <t>대구광역시</t>
        </is>
      </c>
      <c r="C331" s="2" t="inlineStr">
        <is>
          <t>대구광역시 동구</t>
        </is>
      </c>
      <c r="D331" s="2" t="inlineStr">
        <is>
          <t>대구유기동물보호센터</t>
        </is>
      </c>
      <c r="E331" s="2" t="inlineStr">
        <is>
          <t>327342201400001</t>
        </is>
      </c>
      <c r="F331" s="3">
        <f>SUM(G331:J331)</f>
        <v/>
      </c>
      <c r="G331" s="3" t="n">
        <v>265</v>
      </c>
      <c r="H331" s="3" t="n">
        <v>574</v>
      </c>
      <c r="I331" s="3" t="n">
        <v>119</v>
      </c>
      <c r="J331" s="3" t="n">
        <v>0</v>
      </c>
      <c r="K331" s="4">
        <f>G331/F331</f>
        <v/>
      </c>
      <c r="L331" s="4">
        <f>H331/F331</f>
        <v/>
      </c>
      <c r="M331" s="4">
        <f>I331/F331</f>
        <v/>
      </c>
      <c r="N331" s="3" t="n">
        <v>318</v>
      </c>
      <c r="O331" s="3" t="n">
        <v>5</v>
      </c>
      <c r="P331" s="2">
        <f>IF(F331&lt;100,"종료 100마리 미만","")</f>
        <v/>
      </c>
    </row>
    <row r="332">
      <c r="A332" s="2">
        <f>RANK(K332,$K$2:$K$454)</f>
        <v/>
      </c>
      <c r="B332" s="2" t="inlineStr">
        <is>
          <t>충청남도</t>
        </is>
      </c>
      <c r="C332" s="2" t="inlineStr">
        <is>
          <t>충청남도 서산시</t>
        </is>
      </c>
      <c r="D332" s="2" t="inlineStr">
        <is>
          <t>성심동물의료센터</t>
        </is>
      </c>
      <c r="E332" s="2" t="inlineStr">
        <is>
          <t>344453201800002</t>
        </is>
      </c>
      <c r="F332" s="3">
        <f>SUM(G332:J332)</f>
        <v/>
      </c>
      <c r="G332" s="3" t="n">
        <v>53</v>
      </c>
      <c r="H332" s="3" t="n">
        <v>105</v>
      </c>
      <c r="I332" s="3" t="n">
        <v>34</v>
      </c>
      <c r="J332" s="3" t="n">
        <v>0</v>
      </c>
      <c r="K332" s="4">
        <f>G332/F332</f>
        <v/>
      </c>
      <c r="L332" s="4">
        <f>H332/F332</f>
        <v/>
      </c>
      <c r="M332" s="4">
        <f>I332/F332</f>
        <v/>
      </c>
      <c r="N332" s="3" t="n">
        <v>22</v>
      </c>
      <c r="O332" s="3" t="n">
        <v>0</v>
      </c>
      <c r="P332" s="2">
        <f>IF(F332&lt;100,"종료 100마리 미만","")</f>
        <v/>
      </c>
    </row>
    <row r="333">
      <c r="A333" s="2">
        <f>RANK(K333,$K$2:$K$454)</f>
        <v/>
      </c>
      <c r="B333" s="2" t="inlineStr">
        <is>
          <t>경기도</t>
        </is>
      </c>
      <c r="C333" s="2" t="inlineStr">
        <is>
          <t>경기도 고양시</t>
        </is>
      </c>
      <c r="D333" s="2" t="inlineStr">
        <is>
          <t>고양시동물보호센터</t>
        </is>
      </c>
      <c r="E333" s="2" t="inlineStr">
        <is>
          <t>341394201400001</t>
        </is>
      </c>
      <c r="F333" s="3">
        <f>SUM(G333:J333)</f>
        <v/>
      </c>
      <c r="G333" s="3" t="n">
        <v>838</v>
      </c>
      <c r="H333" s="3" t="n">
        <v>1310</v>
      </c>
      <c r="I333" s="3" t="n">
        <v>327</v>
      </c>
      <c r="J333" s="3" t="n">
        <v>581</v>
      </c>
      <c r="K333" s="4">
        <f>G333/F333</f>
        <v/>
      </c>
      <c r="L333" s="4">
        <f>H333/F333</f>
        <v/>
      </c>
      <c r="M333" s="4">
        <f>I333/F333</f>
        <v/>
      </c>
      <c r="N333" s="3" t="n">
        <v>921</v>
      </c>
      <c r="O333" s="3" t="n">
        <v>23</v>
      </c>
      <c r="P333" s="2">
        <f>IF(F333&lt;100,"종료 100마리 미만","")</f>
        <v/>
      </c>
    </row>
    <row r="334">
      <c r="A334" s="2">
        <f>RANK(K334,$K$2:$K$454)</f>
        <v/>
      </c>
      <c r="B334" s="2" t="inlineStr">
        <is>
          <t>경상남도</t>
        </is>
      </c>
      <c r="C334" s="2" t="inlineStr">
        <is>
          <t>경상남도 김해시</t>
        </is>
      </c>
      <c r="D334" s="2" t="inlineStr">
        <is>
          <t>(사)동물보호관리협회</t>
        </is>
      </c>
      <c r="E334" s="2" t="inlineStr">
        <is>
          <t>348535202400001</t>
        </is>
      </c>
      <c r="F334" s="3">
        <f>SUM(G334:J334)</f>
        <v/>
      </c>
      <c r="G334" s="3" t="n">
        <v>204</v>
      </c>
      <c r="H334" s="3" t="n">
        <v>189</v>
      </c>
      <c r="I334" s="3" t="n">
        <v>338</v>
      </c>
      <c r="J334" s="3" t="n">
        <v>13</v>
      </c>
      <c r="K334" s="4">
        <f>G334/F334</f>
        <v/>
      </c>
      <c r="L334" s="4">
        <f>H334/F334</f>
        <v/>
      </c>
      <c r="M334" s="4">
        <f>I334/F334</f>
        <v/>
      </c>
      <c r="N334" s="3" t="n">
        <v>115</v>
      </c>
      <c r="O334" s="3" t="n">
        <v>0</v>
      </c>
      <c r="P334" s="2">
        <f>IF(F334&lt;100,"종료 100마리 미만","")</f>
        <v/>
      </c>
    </row>
    <row r="335">
      <c r="A335" s="2">
        <f>RANK(K335,$K$2:$K$454)</f>
        <v/>
      </c>
      <c r="B335" s="2" t="inlineStr">
        <is>
          <t>전남광주통합특별시</t>
        </is>
      </c>
      <c r="C335" s="2" t="inlineStr">
        <is>
          <t>전남광주통합특별시 신안군</t>
        </is>
      </c>
      <c r="D335" s="2" t="inlineStr">
        <is>
          <t>신안군유기동물보호소</t>
        </is>
      </c>
      <c r="E335" s="2" t="inlineStr">
        <is>
          <t>346501201700001</t>
        </is>
      </c>
      <c r="F335" s="3">
        <f>SUM(G335:J335)</f>
        <v/>
      </c>
      <c r="G335" s="3" t="n">
        <v>374</v>
      </c>
      <c r="H335" s="3" t="n">
        <v>192</v>
      </c>
      <c r="I335" s="3" t="n">
        <v>814</v>
      </c>
      <c r="J335" s="3" t="n">
        <v>0</v>
      </c>
      <c r="K335" s="4">
        <f>G335/F335</f>
        <v/>
      </c>
      <c r="L335" s="4">
        <f>H335/F335</f>
        <v/>
      </c>
      <c r="M335" s="4">
        <f>I335/F335</f>
        <v/>
      </c>
      <c r="N335" s="3" t="n">
        <v>27</v>
      </c>
      <c r="O335" s="3" t="n">
        <v>0</v>
      </c>
      <c r="P335" s="2">
        <f>IF(F335&lt;100,"종료 100마리 미만","")</f>
        <v/>
      </c>
    </row>
    <row r="336">
      <c r="A336" s="2">
        <f>RANK(K336,$K$2:$K$454)</f>
        <v/>
      </c>
      <c r="B336" s="2" t="inlineStr">
        <is>
          <t>강원특별자치도</t>
        </is>
      </c>
      <c r="C336" s="2" t="inlineStr">
        <is>
          <t>강원특별자치도 화천군</t>
        </is>
      </c>
      <c r="D336" s="2" t="inlineStr">
        <is>
          <t>화천군농업기술센터</t>
        </is>
      </c>
      <c r="E336" s="2" t="inlineStr">
        <is>
          <t>342431201300001</t>
        </is>
      </c>
      <c r="F336" s="3">
        <f>SUM(G336:J336)</f>
        <v/>
      </c>
      <c r="G336" s="3" t="n">
        <v>147</v>
      </c>
      <c r="H336" s="3" t="n">
        <v>131</v>
      </c>
      <c r="I336" s="3" t="n">
        <v>271</v>
      </c>
      <c r="J336" s="3" t="n">
        <v>0</v>
      </c>
      <c r="K336" s="4">
        <f>G336/F336</f>
        <v/>
      </c>
      <c r="L336" s="4">
        <f>H336/F336</f>
        <v/>
      </c>
      <c r="M336" s="4">
        <f>I336/F336</f>
        <v/>
      </c>
      <c r="N336" s="3" t="n">
        <v>42</v>
      </c>
      <c r="O336" s="3" t="n">
        <v>17</v>
      </c>
      <c r="P336" s="2">
        <f>IF(F336&lt;100,"종료 100마리 미만","")</f>
        <v/>
      </c>
    </row>
    <row r="337">
      <c r="A337" s="2">
        <f>RANK(K337,$K$2:$K$454)</f>
        <v/>
      </c>
      <c r="B337" s="2" t="inlineStr">
        <is>
          <t>경상북도</t>
        </is>
      </c>
      <c r="C337" s="2" t="inlineStr">
        <is>
          <t>경상북도 영주시</t>
        </is>
      </c>
      <c r="D337" s="2" t="inlineStr">
        <is>
          <t>영주시 동물보호센터</t>
        </is>
      </c>
      <c r="E337" s="2" t="inlineStr">
        <is>
          <t>347509200900001</t>
        </is>
      </c>
      <c r="F337" s="3">
        <f>SUM(G337:J337)</f>
        <v/>
      </c>
      <c r="G337" s="3" t="n">
        <v>400</v>
      </c>
      <c r="H337" s="3" t="n">
        <v>537</v>
      </c>
      <c r="I337" s="3" t="n">
        <v>537</v>
      </c>
      <c r="J337" s="3" t="n">
        <v>22</v>
      </c>
      <c r="K337" s="4">
        <f>G337/F337</f>
        <v/>
      </c>
      <c r="L337" s="4">
        <f>H337/F337</f>
        <v/>
      </c>
      <c r="M337" s="4">
        <f>I337/F337</f>
        <v/>
      </c>
      <c r="N337" s="3" t="n">
        <v>203</v>
      </c>
      <c r="O337" s="3" t="n">
        <v>34</v>
      </c>
      <c r="P337" s="2">
        <f>IF(F337&lt;100,"종료 100마리 미만","")</f>
        <v/>
      </c>
    </row>
    <row r="338">
      <c r="A338" s="2">
        <f>RANK(K338,$K$2:$K$454)</f>
        <v/>
      </c>
      <c r="B338" s="2" t="inlineStr">
        <is>
          <t>경기도</t>
        </is>
      </c>
      <c r="C338" s="2" t="inlineStr">
        <is>
          <t>경기도 광주시</t>
        </is>
      </c>
      <c r="D338" s="2" t="inlineStr">
        <is>
          <t>광주TNR동물병원송정</t>
        </is>
      </c>
      <c r="E338" s="2" t="inlineStr">
        <is>
          <t>341554201300008</t>
        </is>
      </c>
      <c r="F338" s="3">
        <f>SUM(G338:J338)</f>
        <v/>
      </c>
      <c r="G338" s="3" t="n">
        <v>135</v>
      </c>
      <c r="H338" s="3" t="n">
        <v>68</v>
      </c>
      <c r="I338" s="3" t="n">
        <v>45</v>
      </c>
      <c r="J338" s="3" t="n">
        <v>259</v>
      </c>
      <c r="K338" s="4">
        <f>G338/F338</f>
        <v/>
      </c>
      <c r="L338" s="4">
        <f>H338/F338</f>
        <v/>
      </c>
      <c r="M338" s="4">
        <f>I338/F338</f>
        <v/>
      </c>
      <c r="N338" s="3" t="n">
        <v>108</v>
      </c>
      <c r="O338" s="3" t="n">
        <v>0</v>
      </c>
      <c r="P338" s="2">
        <f>IF(F338&lt;100,"종료 100마리 미만","")</f>
        <v/>
      </c>
    </row>
    <row r="339">
      <c r="A339" s="2">
        <f>RANK(K339,$K$2:$K$454)</f>
        <v/>
      </c>
      <c r="B339" s="2" t="inlineStr">
        <is>
          <t>충청남도</t>
        </is>
      </c>
      <c r="C339" s="2" t="inlineStr">
        <is>
          <t>충청남도 서산시</t>
        </is>
      </c>
      <c r="D339" s="2" t="inlineStr">
        <is>
          <t>서산시 동물보호센터</t>
        </is>
      </c>
      <c r="E339" s="2" t="inlineStr">
        <is>
          <t>344453202100003</t>
        </is>
      </c>
      <c r="F339" s="3">
        <f>SUM(G339:J339)</f>
        <v/>
      </c>
      <c r="G339" s="3" t="n">
        <v>769</v>
      </c>
      <c r="H339" s="3" t="n">
        <v>1763</v>
      </c>
      <c r="I339" s="3" t="n">
        <v>352</v>
      </c>
      <c r="J339" s="3" t="n">
        <v>17</v>
      </c>
      <c r="K339" s="4">
        <f>G339/F339</f>
        <v/>
      </c>
      <c r="L339" s="4">
        <f>H339/F339</f>
        <v/>
      </c>
      <c r="M339" s="4">
        <f>I339/F339</f>
        <v/>
      </c>
      <c r="N339" s="3" t="n">
        <v>440</v>
      </c>
      <c r="O339" s="3" t="n">
        <v>2</v>
      </c>
      <c r="P339" s="2">
        <f>IF(F339&lt;100,"종료 100마리 미만","")</f>
        <v/>
      </c>
    </row>
    <row r="340">
      <c r="A340" s="2">
        <f>RANK(K340,$K$2:$K$454)</f>
        <v/>
      </c>
      <c r="B340" s="2" t="inlineStr">
        <is>
          <t>충청북도</t>
        </is>
      </c>
      <c r="C340" s="2" t="inlineStr">
        <is>
          <t>충청북도 단양군</t>
        </is>
      </c>
      <c r="D340" s="2" t="inlineStr">
        <is>
          <t>단양군동물보호센터</t>
        </is>
      </c>
      <c r="E340" s="2" t="inlineStr">
        <is>
          <t>343448200900001</t>
        </is>
      </c>
      <c r="F340" s="3">
        <f>SUM(G340:J340)</f>
        <v/>
      </c>
      <c r="G340" s="3" t="n">
        <v>157</v>
      </c>
      <c r="H340" s="3" t="n">
        <v>264</v>
      </c>
      <c r="I340" s="3" t="n">
        <v>115</v>
      </c>
      <c r="J340" s="3" t="n">
        <v>59</v>
      </c>
      <c r="K340" s="4">
        <f>G340/F340</f>
        <v/>
      </c>
      <c r="L340" s="4">
        <f>H340/F340</f>
        <v/>
      </c>
      <c r="M340" s="4">
        <f>I340/F340</f>
        <v/>
      </c>
      <c r="N340" s="3" t="n">
        <v>54</v>
      </c>
      <c r="O340" s="3" t="n">
        <v>4</v>
      </c>
      <c r="P340" s="2">
        <f>IF(F340&lt;100,"종료 100마리 미만","")</f>
        <v/>
      </c>
    </row>
    <row r="341">
      <c r="A341" s="2">
        <f>RANK(K341,$K$2:$K$454)</f>
        <v/>
      </c>
      <c r="B341" s="2" t="inlineStr">
        <is>
          <t>충청남도</t>
        </is>
      </c>
      <c r="C341" s="2" t="inlineStr">
        <is>
          <t>충청남도 태안군</t>
        </is>
      </c>
      <c r="D341" s="2" t="inlineStr">
        <is>
          <t>최동물병원</t>
        </is>
      </c>
      <c r="E341" s="2" t="inlineStr">
        <is>
          <t>344462200900001</t>
        </is>
      </c>
      <c r="F341" s="3">
        <f>SUM(G341:J341)</f>
        <v/>
      </c>
      <c r="G341" s="3" t="n">
        <v>680</v>
      </c>
      <c r="H341" s="3" t="n">
        <v>861</v>
      </c>
      <c r="I341" s="3" t="n">
        <v>1045</v>
      </c>
      <c r="J341" s="3" t="n">
        <v>0</v>
      </c>
      <c r="K341" s="4">
        <f>G341/F341</f>
        <v/>
      </c>
      <c r="L341" s="4">
        <f>H341/F341</f>
        <v/>
      </c>
      <c r="M341" s="4">
        <f>I341/F341</f>
        <v/>
      </c>
      <c r="N341" s="3" t="n">
        <v>78</v>
      </c>
      <c r="O341" s="3" t="n">
        <v>7</v>
      </c>
      <c r="P341" s="2">
        <f>IF(F341&lt;100,"종료 100마리 미만","")</f>
        <v/>
      </c>
    </row>
    <row r="342">
      <c r="A342" s="2">
        <f>RANK(K342,$K$2:$K$454)</f>
        <v/>
      </c>
      <c r="B342" s="2" t="inlineStr">
        <is>
          <t>경기도</t>
        </is>
      </c>
      <c r="C342" s="2" t="inlineStr">
        <is>
          <t>경기도 광명시</t>
        </is>
      </c>
      <c r="D342" s="2" t="inlineStr">
        <is>
          <t>한국야생동물보호협회</t>
        </is>
      </c>
      <c r="E342" s="2" t="inlineStr">
        <is>
          <t>341390201300001</t>
        </is>
      </c>
      <c r="F342" s="3">
        <f>SUM(G342:J342)</f>
        <v/>
      </c>
      <c r="G342" s="3" t="n">
        <v>154</v>
      </c>
      <c r="H342" s="3" t="n">
        <v>278</v>
      </c>
      <c r="I342" s="3" t="n">
        <v>109</v>
      </c>
      <c r="J342" s="3" t="n">
        <v>45</v>
      </c>
      <c r="K342" s="4">
        <f>G342/F342</f>
        <v/>
      </c>
      <c r="L342" s="4">
        <f>H342/F342</f>
        <v/>
      </c>
      <c r="M342" s="4">
        <f>I342/F342</f>
        <v/>
      </c>
      <c r="N342" s="3" t="n">
        <v>150</v>
      </c>
      <c r="O342" s="3" t="n">
        <v>4</v>
      </c>
      <c r="P342" s="2">
        <f>IF(F342&lt;100,"종료 100마리 미만","")</f>
        <v/>
      </c>
    </row>
    <row r="343">
      <c r="A343" s="2">
        <f>RANK(K343,$K$2:$K$454)</f>
        <v/>
      </c>
      <c r="B343" s="2" t="inlineStr">
        <is>
          <t>충청남도</t>
        </is>
      </c>
      <c r="C343" s="2" t="inlineStr">
        <is>
          <t>충청남도 보령시</t>
        </is>
      </c>
      <c r="D343" s="2" t="inlineStr">
        <is>
          <t>보령시유기동물보호소</t>
        </is>
      </c>
      <c r="E343" s="2" t="inlineStr">
        <is>
          <t>344451201300001</t>
        </is>
      </c>
      <c r="F343" s="3">
        <f>SUM(G343:J343)</f>
        <v/>
      </c>
      <c r="G343" s="3" t="n">
        <v>462</v>
      </c>
      <c r="H343" s="3" t="n">
        <v>756</v>
      </c>
      <c r="I343" s="3" t="n">
        <v>405</v>
      </c>
      <c r="J343" s="3" t="n">
        <v>139</v>
      </c>
      <c r="K343" s="4">
        <f>G343/F343</f>
        <v/>
      </c>
      <c r="L343" s="4">
        <f>H343/F343</f>
        <v/>
      </c>
      <c r="M343" s="4">
        <f>I343/F343</f>
        <v/>
      </c>
      <c r="N343" s="3" t="n">
        <v>224</v>
      </c>
      <c r="O343" s="3" t="n">
        <v>0</v>
      </c>
      <c r="P343" s="2">
        <f>IF(F343&lt;100,"종료 100마리 미만","")</f>
        <v/>
      </c>
    </row>
    <row r="344">
      <c r="A344" s="2">
        <f>RANK(K344,$K$2:$K$454)</f>
        <v/>
      </c>
      <c r="B344" s="2" t="inlineStr">
        <is>
          <t>충청북도</t>
        </is>
      </c>
      <c r="C344" s="2" t="inlineStr">
        <is>
          <t>충청북도 음성군</t>
        </is>
      </c>
      <c r="D344" s="2" t="inlineStr">
        <is>
          <t>금왕동물병원</t>
        </is>
      </c>
      <c r="E344" s="2" t="inlineStr">
        <is>
          <t>343447202000001</t>
        </is>
      </c>
      <c r="F344" s="3">
        <f>SUM(G344:J344)</f>
        <v/>
      </c>
      <c r="G344" s="3" t="n">
        <v>472</v>
      </c>
      <c r="H344" s="3" t="n">
        <v>1192</v>
      </c>
      <c r="I344" s="3" t="n">
        <v>143</v>
      </c>
      <c r="J344" s="3" t="n">
        <v>0</v>
      </c>
      <c r="K344" s="4">
        <f>G344/F344</f>
        <v/>
      </c>
      <c r="L344" s="4">
        <f>H344/F344</f>
        <v/>
      </c>
      <c r="M344" s="4">
        <f>I344/F344</f>
        <v/>
      </c>
      <c r="N344" s="3" t="n">
        <v>109</v>
      </c>
      <c r="O344" s="3" t="n">
        <v>0</v>
      </c>
      <c r="P344" s="2">
        <f>IF(F344&lt;100,"종료 100마리 미만","")</f>
        <v/>
      </c>
    </row>
    <row r="345">
      <c r="A345" s="2">
        <f>RANK(K345,$K$2:$K$454)</f>
        <v/>
      </c>
      <c r="B345" s="2" t="inlineStr">
        <is>
          <t>강원특별자치도</t>
        </is>
      </c>
      <c r="C345" s="2" t="inlineStr">
        <is>
          <t>강원특별자치도 태백시</t>
        </is>
      </c>
      <c r="D345" s="2" t="inlineStr">
        <is>
          <t>태백시유기동물보호소</t>
        </is>
      </c>
      <c r="E345" s="2" t="inlineStr">
        <is>
          <t>342422200900001</t>
        </is>
      </c>
      <c r="F345" s="3">
        <f>SUM(G345:J345)</f>
        <v/>
      </c>
      <c r="G345" s="3" t="n">
        <v>96</v>
      </c>
      <c r="H345" s="3" t="n">
        <v>214</v>
      </c>
      <c r="I345" s="3" t="n">
        <v>55</v>
      </c>
      <c r="J345" s="3" t="n">
        <v>3</v>
      </c>
      <c r="K345" s="4">
        <f>G345/F345</f>
        <v/>
      </c>
      <c r="L345" s="4">
        <f>H345/F345</f>
        <v/>
      </c>
      <c r="M345" s="4">
        <f>I345/F345</f>
        <v/>
      </c>
      <c r="N345" s="3" t="n">
        <v>112</v>
      </c>
      <c r="O345" s="3" t="n">
        <v>1</v>
      </c>
      <c r="P345" s="2">
        <f>IF(F345&lt;100,"종료 100마리 미만","")</f>
        <v/>
      </c>
    </row>
    <row r="346">
      <c r="A346" s="2">
        <f>RANK(K346,$K$2:$K$454)</f>
        <v/>
      </c>
      <c r="B346" s="2" t="inlineStr">
        <is>
          <t>전남광주통합특별시</t>
        </is>
      </c>
      <c r="C346" s="2" t="inlineStr">
        <is>
          <t>전남광주통합특별시 나주시</t>
        </is>
      </c>
      <c r="D346" s="2" t="inlineStr">
        <is>
          <t>빛고을애견</t>
        </is>
      </c>
      <c r="E346" s="2" t="inlineStr">
        <is>
          <t>346483200900001</t>
        </is>
      </c>
      <c r="F346" s="3">
        <f>SUM(G346:J346)</f>
        <v/>
      </c>
      <c r="G346" s="3" t="n">
        <v>77</v>
      </c>
      <c r="H346" s="3" t="n">
        <v>107</v>
      </c>
      <c r="I346" s="3" t="n">
        <v>114</v>
      </c>
      <c r="J346" s="3" t="n">
        <v>1</v>
      </c>
      <c r="K346" s="4">
        <f>G346/F346</f>
        <v/>
      </c>
      <c r="L346" s="4">
        <f>H346/F346</f>
        <v/>
      </c>
      <c r="M346" s="4">
        <f>I346/F346</f>
        <v/>
      </c>
      <c r="N346" s="3" t="n">
        <v>11</v>
      </c>
      <c r="O346" s="3" t="n">
        <v>0</v>
      </c>
      <c r="P346" s="2">
        <f>IF(F346&lt;100,"종료 100마리 미만","")</f>
        <v/>
      </c>
    </row>
    <row r="347">
      <c r="A347" s="2">
        <f>RANK(K347,$K$2:$K$454)</f>
        <v/>
      </c>
      <c r="B347" s="2" t="inlineStr">
        <is>
          <t>부산광역시</t>
        </is>
      </c>
      <c r="C347" s="2" t="inlineStr">
        <is>
          <t>부산광역시 동구</t>
        </is>
      </c>
      <c r="D347" s="2" t="inlineStr">
        <is>
          <t>사단법인 하얀비둘기</t>
        </is>
      </c>
      <c r="E347" s="2" t="inlineStr">
        <is>
          <t>326327201900002</t>
        </is>
      </c>
      <c r="F347" s="3">
        <f>SUM(G347:J347)</f>
        <v/>
      </c>
      <c r="G347" s="3" t="n">
        <v>26</v>
      </c>
      <c r="H347" s="3" t="n">
        <v>1</v>
      </c>
      <c r="I347" s="3" t="n">
        <v>74</v>
      </c>
      <c r="J347" s="3" t="n">
        <v>0</v>
      </c>
      <c r="K347" s="4">
        <f>G347/F347</f>
        <v/>
      </c>
      <c r="L347" s="4">
        <f>H347/F347</f>
        <v/>
      </c>
      <c r="M347" s="4">
        <f>I347/F347</f>
        <v/>
      </c>
      <c r="N347" s="3" t="n">
        <v>42</v>
      </c>
      <c r="O347" s="3" t="n">
        <v>8</v>
      </c>
      <c r="P347" s="2">
        <f>IF(F347&lt;100,"종료 100마리 미만","")</f>
        <v/>
      </c>
    </row>
    <row r="348">
      <c r="A348" s="2">
        <f>RANK(K348,$K$2:$K$454)</f>
        <v/>
      </c>
      <c r="B348" s="2" t="inlineStr">
        <is>
          <t>경기도</t>
        </is>
      </c>
      <c r="C348" s="2" t="inlineStr">
        <is>
          <t>경기도 의왕시</t>
        </is>
      </c>
      <c r="D348" s="2" t="inlineStr">
        <is>
          <t>한국야생동물보호협회</t>
        </is>
      </c>
      <c r="E348" s="2" t="inlineStr">
        <is>
          <t>341403202100001</t>
        </is>
      </c>
      <c r="F348" s="3">
        <f>SUM(G348:J348)</f>
        <v/>
      </c>
      <c r="G348" s="3" t="n">
        <v>72</v>
      </c>
      <c r="H348" s="3" t="n">
        <v>152</v>
      </c>
      <c r="I348" s="3" t="n">
        <v>46</v>
      </c>
      <c r="J348" s="3" t="n">
        <v>12</v>
      </c>
      <c r="K348" s="4">
        <f>G348/F348</f>
        <v/>
      </c>
      <c r="L348" s="4">
        <f>H348/F348</f>
        <v/>
      </c>
      <c r="M348" s="4">
        <f>I348/F348</f>
        <v/>
      </c>
      <c r="N348" s="3" t="n">
        <v>86</v>
      </c>
      <c r="O348" s="3" t="n">
        <v>3</v>
      </c>
      <c r="P348" s="2">
        <f>IF(F348&lt;100,"종료 100마리 미만","")</f>
        <v/>
      </c>
    </row>
    <row r="349">
      <c r="A349" s="2">
        <f>RANK(K349,$K$2:$K$454)</f>
        <v/>
      </c>
      <c r="B349" s="2" t="inlineStr">
        <is>
          <t>부산광역시</t>
        </is>
      </c>
      <c r="C349" s="2" t="inlineStr">
        <is>
          <t>부산광역시 영도구</t>
        </is>
      </c>
      <c r="D349" s="2" t="inlineStr">
        <is>
          <t>부산동물보호센터</t>
        </is>
      </c>
      <c r="E349" s="2" t="inlineStr">
        <is>
          <t>326328201900001</t>
        </is>
      </c>
      <c r="F349" s="3">
        <f>SUM(G349:J349)</f>
        <v/>
      </c>
      <c r="G349" s="3" t="n">
        <v>52</v>
      </c>
      <c r="H349" s="3" t="n">
        <v>11</v>
      </c>
      <c r="I349" s="3" t="n">
        <v>141</v>
      </c>
      <c r="J349" s="3" t="n">
        <v>1</v>
      </c>
      <c r="K349" s="4">
        <f>G349/F349</f>
        <v/>
      </c>
      <c r="L349" s="4">
        <f>H349/F349</f>
        <v/>
      </c>
      <c r="M349" s="4">
        <f>I349/F349</f>
        <v/>
      </c>
      <c r="N349" s="3" t="n">
        <v>77</v>
      </c>
      <c r="O349" s="3" t="n">
        <v>15</v>
      </c>
      <c r="P349" s="2">
        <f>IF(F349&lt;100,"종료 100마리 미만","")</f>
        <v/>
      </c>
    </row>
    <row r="350">
      <c r="A350" s="2">
        <f>RANK(K350,$K$2:$K$454)</f>
        <v/>
      </c>
      <c r="B350" s="2" t="inlineStr">
        <is>
          <t>경기도</t>
        </is>
      </c>
      <c r="C350" s="2" t="inlineStr">
        <is>
          <t>경기도 평택시</t>
        </is>
      </c>
      <c r="D350" s="2" t="inlineStr">
        <is>
          <t>평택시유기동물보호소</t>
        </is>
      </c>
      <c r="E350" s="2" t="inlineStr">
        <is>
          <t>341391200900001</t>
        </is>
      </c>
      <c r="F350" s="3">
        <f>SUM(G350:J350)</f>
        <v/>
      </c>
      <c r="G350" s="3" t="n">
        <v>1593</v>
      </c>
      <c r="H350" s="3" t="n">
        <v>2795</v>
      </c>
      <c r="I350" s="3" t="n">
        <v>1317</v>
      </c>
      <c r="J350" s="3" t="n">
        <v>599</v>
      </c>
      <c r="K350" s="4">
        <f>G350/F350</f>
        <v/>
      </c>
      <c r="L350" s="4">
        <f>H350/F350</f>
        <v/>
      </c>
      <c r="M350" s="4">
        <f>I350/F350</f>
        <v/>
      </c>
      <c r="N350" s="3" t="n">
        <v>835</v>
      </c>
      <c r="O350" s="3" t="n">
        <v>0</v>
      </c>
      <c r="P350" s="2">
        <f>IF(F350&lt;100,"종료 100마리 미만","")</f>
        <v/>
      </c>
    </row>
    <row r="351">
      <c r="A351" s="2">
        <f>RANK(K351,$K$2:$K$454)</f>
        <v/>
      </c>
      <c r="B351" s="2" t="inlineStr">
        <is>
          <t>경기도</t>
        </is>
      </c>
      <c r="C351" s="2" t="inlineStr">
        <is>
          <t>경기도 과천시</t>
        </is>
      </c>
      <c r="D351" s="2" t="inlineStr">
        <is>
          <t>한국야생동물보호협회</t>
        </is>
      </c>
      <c r="E351" s="2" t="inlineStr">
        <is>
          <t>341397202100001</t>
        </is>
      </c>
      <c r="F351" s="3">
        <f>SUM(G351:J351)</f>
        <v/>
      </c>
      <c r="G351" s="3" t="n">
        <v>53</v>
      </c>
      <c r="H351" s="3" t="n">
        <v>93</v>
      </c>
      <c r="I351" s="3" t="n">
        <v>64</v>
      </c>
      <c r="J351" s="3" t="n">
        <v>3</v>
      </c>
      <c r="K351" s="4">
        <f>G351/F351</f>
        <v/>
      </c>
      <c r="L351" s="4">
        <f>H351/F351</f>
        <v/>
      </c>
      <c r="M351" s="4">
        <f>I351/F351</f>
        <v/>
      </c>
      <c r="N351" s="3" t="n">
        <v>52</v>
      </c>
      <c r="O351" s="3" t="n">
        <v>1</v>
      </c>
      <c r="P351" s="2">
        <f>IF(F351&lt;100,"종료 100마리 미만","")</f>
        <v/>
      </c>
    </row>
    <row r="352">
      <c r="A352" s="2">
        <f>RANK(K352,$K$2:$K$454)</f>
        <v/>
      </c>
      <c r="B352" s="2" t="inlineStr">
        <is>
          <t>경기도</t>
        </is>
      </c>
      <c r="C352" s="2" t="inlineStr">
        <is>
          <t>경기도 파주시</t>
        </is>
      </c>
      <c r="D352" s="2" t="inlineStr">
        <is>
          <t>한국동물구조관리협회</t>
        </is>
      </c>
      <c r="E352" s="2" t="inlineStr">
        <is>
          <t>341406202200002</t>
        </is>
      </c>
      <c r="F352" s="3">
        <f>SUM(G352:J352)</f>
        <v/>
      </c>
      <c r="G352" s="3" t="n">
        <v>632</v>
      </c>
      <c r="H352" s="3" t="n">
        <v>1610</v>
      </c>
      <c r="I352" s="3" t="n">
        <v>267</v>
      </c>
      <c r="J352" s="3" t="n">
        <v>36</v>
      </c>
      <c r="K352" s="4">
        <f>G352/F352</f>
        <v/>
      </c>
      <c r="L352" s="4">
        <f>H352/F352</f>
        <v/>
      </c>
      <c r="M352" s="4">
        <f>I352/F352</f>
        <v/>
      </c>
      <c r="N352" s="3" t="n">
        <v>299</v>
      </c>
      <c r="O352" s="3" t="n">
        <v>28</v>
      </c>
      <c r="P352" s="2">
        <f>IF(F352&lt;100,"종료 100마리 미만","")</f>
        <v/>
      </c>
    </row>
    <row r="353">
      <c r="A353" s="2">
        <f>RANK(K353,$K$2:$K$454)</f>
        <v/>
      </c>
      <c r="B353" s="2" t="inlineStr">
        <is>
          <t>경상남도</t>
        </is>
      </c>
      <c r="C353" s="2" t="inlineStr">
        <is>
          <t>경상남도 거창군</t>
        </is>
      </c>
      <c r="D353" s="2" t="inlineStr">
        <is>
          <t>나래동물병원</t>
        </is>
      </c>
      <c r="E353" s="2" t="inlineStr">
        <is>
          <t>348547202300002</t>
        </is>
      </c>
      <c r="F353" s="3">
        <f>SUM(G353:J353)</f>
        <v/>
      </c>
      <c r="G353" s="3" t="n">
        <v>57</v>
      </c>
      <c r="H353" s="3" t="n">
        <v>17</v>
      </c>
      <c r="I353" s="3" t="n">
        <v>156</v>
      </c>
      <c r="J353" s="3" t="n">
        <v>0</v>
      </c>
      <c r="K353" s="4">
        <f>G353/F353</f>
        <v/>
      </c>
      <c r="L353" s="4">
        <f>H353/F353</f>
        <v/>
      </c>
      <c r="M353" s="4">
        <f>I353/F353</f>
        <v/>
      </c>
      <c r="N353" s="3" t="n">
        <v>32</v>
      </c>
      <c r="O353" s="3" t="n">
        <v>0</v>
      </c>
      <c r="P353" s="2">
        <f>IF(F353&lt;100,"종료 100마리 미만","")</f>
        <v/>
      </c>
    </row>
    <row r="354">
      <c r="A354" s="2">
        <f>RANK(K354,$K$2:$K$454)</f>
        <v/>
      </c>
      <c r="B354" s="2" t="inlineStr">
        <is>
          <t>울산광역시</t>
        </is>
      </c>
      <c r="C354" s="2" t="inlineStr">
        <is>
          <t>울산광역시 중구</t>
        </is>
      </c>
      <c r="D354" s="2" t="inlineStr">
        <is>
          <t>울산유기동물보호센터</t>
        </is>
      </c>
      <c r="E354" s="2" t="inlineStr">
        <is>
          <t>331369201400003</t>
        </is>
      </c>
      <c r="F354" s="3">
        <f>SUM(G354:J354)</f>
        <v/>
      </c>
      <c r="G354" s="3" t="n">
        <v>90</v>
      </c>
      <c r="H354" s="3" t="n">
        <v>86</v>
      </c>
      <c r="I354" s="3" t="n">
        <v>156</v>
      </c>
      <c r="J354" s="3" t="n">
        <v>32</v>
      </c>
      <c r="K354" s="4">
        <f>G354/F354</f>
        <v/>
      </c>
      <c r="L354" s="4">
        <f>H354/F354</f>
        <v/>
      </c>
      <c r="M354" s="4">
        <f>I354/F354</f>
        <v/>
      </c>
      <c r="N354" s="3" t="n">
        <v>90</v>
      </c>
      <c r="O354" s="3" t="n">
        <v>11</v>
      </c>
      <c r="P354" s="2">
        <f>IF(F354&lt;100,"종료 100마리 미만","")</f>
        <v/>
      </c>
    </row>
    <row r="355">
      <c r="A355" s="2">
        <f>RANK(K355,$K$2:$K$454)</f>
        <v/>
      </c>
      <c r="B355" s="2" t="inlineStr">
        <is>
          <t>전북특별자치도</t>
        </is>
      </c>
      <c r="C355" s="2" t="inlineStr">
        <is>
          <t>전북특별자치도 진안군</t>
        </is>
      </c>
      <c r="D355" s="2" t="inlineStr">
        <is>
          <t>진안군유기동물보호소</t>
        </is>
      </c>
      <c r="E355" s="2" t="inlineStr">
        <is>
          <t>345473202300001</t>
        </is>
      </c>
      <c r="F355" s="3">
        <f>SUM(G355:J355)</f>
        <v/>
      </c>
      <c r="G355" s="3" t="n">
        <v>115</v>
      </c>
      <c r="H355" s="3" t="n">
        <v>86</v>
      </c>
      <c r="I355" s="3" t="n">
        <v>132</v>
      </c>
      <c r="J355" s="3" t="n">
        <v>141</v>
      </c>
      <c r="K355" s="4">
        <f>G355/F355</f>
        <v/>
      </c>
      <c r="L355" s="4">
        <f>H355/F355</f>
        <v/>
      </c>
      <c r="M355" s="4">
        <f>I355/F355</f>
        <v/>
      </c>
      <c r="N355" s="3" t="n">
        <v>33</v>
      </c>
      <c r="O355" s="3" t="n">
        <v>24</v>
      </c>
      <c r="P355" s="2">
        <f>IF(F355&lt;100,"종료 100마리 미만","")</f>
        <v/>
      </c>
    </row>
    <row r="356">
      <c r="A356" s="2">
        <f>RANK(K356,$K$2:$K$454)</f>
        <v/>
      </c>
      <c r="B356" s="2" t="inlineStr">
        <is>
          <t>인천광역시</t>
        </is>
      </c>
      <c r="C356" s="2" t="inlineStr">
        <is>
          <t>인천광역시 강화군</t>
        </is>
      </c>
      <c r="D356" s="2" t="inlineStr">
        <is>
          <t>강화군 동물보호센터</t>
        </is>
      </c>
      <c r="E356" s="2" t="inlineStr">
        <is>
          <t>328357202400001</t>
        </is>
      </c>
      <c r="F356" s="3">
        <f>SUM(G356:J356)</f>
        <v/>
      </c>
      <c r="G356" s="3" t="n">
        <v>140</v>
      </c>
      <c r="H356" s="3" t="n">
        <v>307</v>
      </c>
      <c r="I356" s="3" t="n">
        <v>108</v>
      </c>
      <c r="J356" s="3" t="n">
        <v>34</v>
      </c>
      <c r="K356" s="4">
        <f>G356/F356</f>
        <v/>
      </c>
      <c r="L356" s="4">
        <f>H356/F356</f>
        <v/>
      </c>
      <c r="M356" s="4">
        <f>I356/F356</f>
        <v/>
      </c>
      <c r="N356" s="3" t="n">
        <v>47</v>
      </c>
      <c r="O356" s="3" t="n">
        <v>0</v>
      </c>
      <c r="P356" s="2">
        <f>IF(F356&lt;100,"종료 100마리 미만","")</f>
        <v/>
      </c>
    </row>
    <row r="357">
      <c r="A357" s="2">
        <f>RANK(K357,$K$2:$K$454)</f>
        <v/>
      </c>
      <c r="B357" s="2" t="inlineStr">
        <is>
          <t>대구광역시</t>
        </is>
      </c>
      <c r="C357" s="2" t="inlineStr">
        <is>
          <t>대구광역시 달성군</t>
        </is>
      </c>
      <c r="D357" s="2" t="inlineStr">
        <is>
          <t>119동물병원</t>
        </is>
      </c>
      <c r="E357" s="2" t="inlineStr">
        <is>
          <t>327348201700002</t>
        </is>
      </c>
      <c r="F357" s="3">
        <f>SUM(G357:J357)</f>
        <v/>
      </c>
      <c r="G357" s="3" t="n">
        <v>83</v>
      </c>
      <c r="H357" s="3" t="n">
        <v>134</v>
      </c>
      <c r="I357" s="3" t="n">
        <v>134</v>
      </c>
      <c r="J357" s="3" t="n">
        <v>3</v>
      </c>
      <c r="K357" s="4">
        <f>G357/F357</f>
        <v/>
      </c>
      <c r="L357" s="4">
        <f>H357/F357</f>
        <v/>
      </c>
      <c r="M357" s="4">
        <f>I357/F357</f>
        <v/>
      </c>
      <c r="N357" s="3" t="n">
        <v>45</v>
      </c>
      <c r="O357" s="3" t="n">
        <v>0</v>
      </c>
      <c r="P357" s="2">
        <f>IF(F357&lt;100,"종료 100마리 미만","")</f>
        <v/>
      </c>
    </row>
    <row r="358">
      <c r="A358" s="2">
        <f>RANK(K358,$K$2:$K$454)</f>
        <v/>
      </c>
      <c r="B358" s="2" t="inlineStr">
        <is>
          <t>전남광주통합특별시</t>
        </is>
      </c>
      <c r="C358" s="2" t="inlineStr">
        <is>
          <t>전남광주통합특별시 보성군</t>
        </is>
      </c>
      <c r="D358" s="2" t="inlineStr">
        <is>
          <t>보성유기동물보호센터</t>
        </is>
      </c>
      <c r="E358" s="2" t="inlineStr">
        <is>
          <t>346489202000001</t>
        </is>
      </c>
      <c r="F358" s="3">
        <f>SUM(G358:J358)</f>
        <v/>
      </c>
      <c r="G358" s="3" t="n">
        <v>184</v>
      </c>
      <c r="H358" s="3" t="n">
        <v>349</v>
      </c>
      <c r="I358" s="3" t="n">
        <v>251</v>
      </c>
      <c r="J358" s="3" t="n">
        <v>3</v>
      </c>
      <c r="K358" s="4">
        <f>G358/F358</f>
        <v/>
      </c>
      <c r="L358" s="4">
        <f>H358/F358</f>
        <v/>
      </c>
      <c r="M358" s="4">
        <f>I358/F358</f>
        <v/>
      </c>
      <c r="N358" s="3" t="n">
        <v>33</v>
      </c>
      <c r="O358" s="3" t="n">
        <v>0</v>
      </c>
      <c r="P358" s="2">
        <f>IF(F358&lt;100,"종료 100마리 미만","")</f>
        <v/>
      </c>
    </row>
    <row r="359">
      <c r="A359" s="2">
        <f>RANK(K359,$K$2:$K$454)</f>
        <v/>
      </c>
      <c r="B359" s="2" t="inlineStr">
        <is>
          <t>전남광주통합특별시</t>
        </is>
      </c>
      <c r="C359" s="2" t="inlineStr">
        <is>
          <t>전남광주통합특별시 장흥군</t>
        </is>
      </c>
      <c r="D359" s="2" t="inlineStr">
        <is>
          <t>장흥군 동물보호센터</t>
        </is>
      </c>
      <c r="E359" s="2" t="inlineStr">
        <is>
          <t>346491201300001</t>
        </is>
      </c>
      <c r="F359" s="3">
        <f>SUM(G359:J359)</f>
        <v/>
      </c>
      <c r="G359" s="3" t="n">
        <v>197</v>
      </c>
      <c r="H359" s="3" t="n">
        <v>522</v>
      </c>
      <c r="I359" s="3" t="n">
        <v>123</v>
      </c>
      <c r="J359" s="3" t="n">
        <v>2</v>
      </c>
      <c r="K359" s="4">
        <f>G359/F359</f>
        <v/>
      </c>
      <c r="L359" s="4">
        <f>H359/F359</f>
        <v/>
      </c>
      <c r="M359" s="4">
        <f>I359/F359</f>
        <v/>
      </c>
      <c r="N359" s="3" t="n">
        <v>12</v>
      </c>
      <c r="O359" s="3" t="n">
        <v>0</v>
      </c>
      <c r="P359" s="2">
        <f>IF(F359&lt;100,"종료 100마리 미만","")</f>
        <v/>
      </c>
    </row>
    <row r="360">
      <c r="A360" s="2">
        <f>RANK(K360,$K$2:$K$454)</f>
        <v/>
      </c>
      <c r="B360" s="2" t="inlineStr">
        <is>
          <t>전남광주통합특별시</t>
        </is>
      </c>
      <c r="C360" s="2" t="inlineStr">
        <is>
          <t>전남광주통합특별시 진도군</t>
        </is>
      </c>
      <c r="D360" s="2" t="inlineStr">
        <is>
          <t>진도군임시보호소</t>
        </is>
      </c>
      <c r="E360" s="2" t="inlineStr">
        <is>
          <t>346500201300001</t>
        </is>
      </c>
      <c r="F360" s="3">
        <f>SUM(G360:J360)</f>
        <v/>
      </c>
      <c r="G360" s="3" t="n">
        <v>97</v>
      </c>
      <c r="H360" s="3" t="n">
        <v>274</v>
      </c>
      <c r="I360" s="3" t="n">
        <v>42</v>
      </c>
      <c r="J360" s="3" t="n">
        <v>3</v>
      </c>
      <c r="K360" s="4">
        <f>G360/F360</f>
        <v/>
      </c>
      <c r="L360" s="4">
        <f>H360/F360</f>
        <v/>
      </c>
      <c r="M360" s="4">
        <f>I360/F360</f>
        <v/>
      </c>
      <c r="N360" s="3" t="n">
        <v>34</v>
      </c>
      <c r="O360" s="3" t="n">
        <v>17</v>
      </c>
      <c r="P360" s="2">
        <f>IF(F360&lt;100,"종료 100마리 미만","")</f>
        <v/>
      </c>
    </row>
    <row r="361">
      <c r="A361" s="2">
        <f>RANK(K361,$K$2:$K$454)</f>
        <v/>
      </c>
      <c r="B361" s="2" t="inlineStr">
        <is>
          <t>경기도</t>
        </is>
      </c>
      <c r="C361" s="2" t="inlineStr">
        <is>
          <t>경기도 양주시</t>
        </is>
      </c>
      <c r="D361" s="2" t="inlineStr">
        <is>
          <t>한국동물구조관리협회</t>
        </is>
      </c>
      <c r="E361" s="2" t="inlineStr">
        <is>
          <t>341559200900001</t>
        </is>
      </c>
      <c r="F361" s="3">
        <f>SUM(G361:J361)</f>
        <v/>
      </c>
      <c r="G361" s="3" t="n">
        <v>558</v>
      </c>
      <c r="H361" s="3" t="n">
        <v>1578</v>
      </c>
      <c r="I361" s="3" t="n">
        <v>212</v>
      </c>
      <c r="J361" s="3" t="n">
        <v>50</v>
      </c>
      <c r="K361" s="4">
        <f>G361/F361</f>
        <v/>
      </c>
      <c r="L361" s="4">
        <f>H361/F361</f>
        <v/>
      </c>
      <c r="M361" s="4">
        <f>I361/F361</f>
        <v/>
      </c>
      <c r="N361" s="3" t="n">
        <v>360</v>
      </c>
      <c r="O361" s="3" t="n">
        <v>2</v>
      </c>
      <c r="P361" s="2">
        <f>IF(F361&lt;100,"종료 100마리 미만","")</f>
        <v/>
      </c>
    </row>
    <row r="362">
      <c r="A362" s="2">
        <f>RANK(K362,$K$2:$K$454)</f>
        <v/>
      </c>
      <c r="B362" s="2" t="inlineStr">
        <is>
          <t>전북특별자치도</t>
        </is>
      </c>
      <c r="C362" s="2" t="inlineStr">
        <is>
          <t>전북특별자치도 부안군</t>
        </is>
      </c>
      <c r="D362" s="2" t="inlineStr">
        <is>
          <t>연합동물병원</t>
        </is>
      </c>
      <c r="E362" s="2" t="inlineStr">
        <is>
          <t>345479201600002</t>
        </is>
      </c>
      <c r="F362" s="3">
        <f>SUM(G362:J362)</f>
        <v/>
      </c>
      <c r="G362" s="3" t="n">
        <v>50</v>
      </c>
      <c r="H362" s="3" t="n">
        <v>52</v>
      </c>
      <c r="I362" s="3" t="n">
        <v>115</v>
      </c>
      <c r="J362" s="3" t="n">
        <v>0</v>
      </c>
      <c r="K362" s="4">
        <f>G362/F362</f>
        <v/>
      </c>
      <c r="L362" s="4">
        <f>H362/F362</f>
        <v/>
      </c>
      <c r="M362" s="4">
        <f>I362/F362</f>
        <v/>
      </c>
      <c r="N362" s="3" t="n">
        <v>17</v>
      </c>
      <c r="O362" s="3" t="n">
        <v>0</v>
      </c>
      <c r="P362" s="2">
        <f>IF(F362&lt;100,"종료 100마리 미만","")</f>
        <v/>
      </c>
    </row>
    <row r="363">
      <c r="A363" s="2">
        <f>RANK(K363,$K$2:$K$454)</f>
        <v/>
      </c>
      <c r="B363" s="2" t="inlineStr">
        <is>
          <t>경기도</t>
        </is>
      </c>
      <c r="C363" s="2" t="inlineStr">
        <is>
          <t>경기도 파주시</t>
        </is>
      </c>
      <c r="D363" s="2" t="inlineStr">
        <is>
          <t>파주독 애견호텔</t>
        </is>
      </c>
      <c r="E363" s="2" t="inlineStr">
        <is>
          <t>341406201900001</t>
        </is>
      </c>
      <c r="F363" s="3">
        <f>SUM(G363:J363)</f>
        <v/>
      </c>
      <c r="G363" s="3" t="n">
        <v>69</v>
      </c>
      <c r="H363" s="3" t="n">
        <v>210</v>
      </c>
      <c r="I363" s="3" t="n">
        <v>3</v>
      </c>
      <c r="J363" s="3" t="n">
        <v>19</v>
      </c>
      <c r="K363" s="4">
        <f>G363/F363</f>
        <v/>
      </c>
      <c r="L363" s="4">
        <f>H363/F363</f>
        <v/>
      </c>
      <c r="M363" s="4">
        <f>I363/F363</f>
        <v/>
      </c>
      <c r="N363" s="3" t="n">
        <v>66</v>
      </c>
      <c r="O363" s="3" t="n">
        <v>1</v>
      </c>
      <c r="P363" s="2">
        <f>IF(F363&lt;100,"종료 100마리 미만","")</f>
        <v/>
      </c>
    </row>
    <row r="364">
      <c r="A364" s="2">
        <f>RANK(K364,$K$2:$K$454)</f>
        <v/>
      </c>
      <c r="B364" s="2" t="inlineStr">
        <is>
          <t>울산광역시</t>
        </is>
      </c>
      <c r="C364" s="2" t="inlineStr">
        <is>
          <t>울산광역시 동구</t>
        </is>
      </c>
      <c r="D364" s="2" t="inlineStr">
        <is>
          <t>울산유기동물보호센터</t>
        </is>
      </c>
      <c r="E364" s="2" t="inlineStr">
        <is>
          <t>331371201200001</t>
        </is>
      </c>
      <c r="F364" s="3">
        <f>SUM(G364:J364)</f>
        <v/>
      </c>
      <c r="G364" s="3" t="n">
        <v>41</v>
      </c>
      <c r="H364" s="3" t="n">
        <v>46</v>
      </c>
      <c r="I364" s="3" t="n">
        <v>79</v>
      </c>
      <c r="J364" s="3" t="n">
        <v>13</v>
      </c>
      <c r="K364" s="4">
        <f>G364/F364</f>
        <v/>
      </c>
      <c r="L364" s="4">
        <f>H364/F364</f>
        <v/>
      </c>
      <c r="M364" s="4">
        <f>I364/F364</f>
        <v/>
      </c>
      <c r="N364" s="3" t="n">
        <v>67</v>
      </c>
      <c r="O364" s="3" t="n">
        <v>5</v>
      </c>
      <c r="P364" s="2">
        <f>IF(F364&lt;100,"종료 100마리 미만","")</f>
        <v/>
      </c>
    </row>
    <row r="365">
      <c r="A365" s="2">
        <f>RANK(K365,$K$2:$K$454)</f>
        <v/>
      </c>
      <c r="B365" s="2" t="inlineStr">
        <is>
          <t>강원특별자치도</t>
        </is>
      </c>
      <c r="C365" s="2" t="inlineStr">
        <is>
          <t>강원특별자치도 고성군</t>
        </is>
      </c>
      <c r="D365" s="2" t="inlineStr">
        <is>
          <t>유기견임시보호소</t>
        </is>
      </c>
      <c r="E365" s="2" t="inlineStr">
        <is>
          <t>342434202100001</t>
        </is>
      </c>
      <c r="F365" s="3">
        <f>SUM(G365:J365)</f>
        <v/>
      </c>
      <c r="G365" s="3" t="n">
        <v>169</v>
      </c>
      <c r="H365" s="3" t="n">
        <v>324</v>
      </c>
      <c r="I365" s="3" t="n">
        <v>264</v>
      </c>
      <c r="J365" s="3" t="n">
        <v>0</v>
      </c>
      <c r="K365" s="4">
        <f>G365/F365</f>
        <v/>
      </c>
      <c r="L365" s="4">
        <f>H365/F365</f>
        <v/>
      </c>
      <c r="M365" s="4">
        <f>I365/F365</f>
        <v/>
      </c>
      <c r="N365" s="3" t="n">
        <v>110</v>
      </c>
      <c r="O365" s="3" t="n">
        <v>0</v>
      </c>
      <c r="P365" s="2">
        <f>IF(F365&lt;100,"종료 100마리 미만","")</f>
        <v/>
      </c>
    </row>
    <row r="366">
      <c r="A366" s="2">
        <f>RANK(K366,$K$2:$K$454)</f>
        <v/>
      </c>
      <c r="B366" s="2" t="inlineStr">
        <is>
          <t>경상남도</t>
        </is>
      </c>
      <c r="C366" s="2" t="inlineStr">
        <is>
          <t>경상남도 함안군</t>
        </is>
      </c>
      <c r="D366" s="2" t="inlineStr">
        <is>
          <t>함안군동물보호센터</t>
        </is>
      </c>
      <c r="E366" s="2" t="inlineStr">
        <is>
          <t>348540200900001</t>
        </is>
      </c>
      <c r="F366" s="3">
        <f>SUM(G366:J366)</f>
        <v/>
      </c>
      <c r="G366" s="3" t="n">
        <v>420</v>
      </c>
      <c r="H366" s="3" t="n">
        <v>318</v>
      </c>
      <c r="I366" s="3" t="n">
        <v>784</v>
      </c>
      <c r="J366" s="3" t="n">
        <v>360</v>
      </c>
      <c r="K366" s="4">
        <f>G366/F366</f>
        <v/>
      </c>
      <c r="L366" s="4">
        <f>H366/F366</f>
        <v/>
      </c>
      <c r="M366" s="4">
        <f>I366/F366</f>
        <v/>
      </c>
      <c r="N366" s="3" t="n">
        <v>64</v>
      </c>
      <c r="O366" s="3" t="n">
        <v>92</v>
      </c>
      <c r="P366" s="2">
        <f>IF(F366&lt;100,"종료 100마리 미만","")</f>
        <v/>
      </c>
    </row>
    <row r="367">
      <c r="A367" s="2">
        <f>RANK(K367,$K$2:$K$454)</f>
        <v/>
      </c>
      <c r="B367" s="2" t="inlineStr">
        <is>
          <t>대구광역시</t>
        </is>
      </c>
      <c r="C367" s="2" t="inlineStr">
        <is>
          <t>대구광역시 달성군</t>
        </is>
      </c>
      <c r="D367" s="2" t="inlineStr">
        <is>
          <t>달성축산동물병원</t>
        </is>
      </c>
      <c r="E367" s="2" t="inlineStr">
        <is>
          <t>327348201500003</t>
        </is>
      </c>
      <c r="F367" s="3">
        <f>SUM(G367:J367)</f>
        <v/>
      </c>
      <c r="G367" s="3" t="n">
        <v>46</v>
      </c>
      <c r="H367" s="3" t="n">
        <v>144</v>
      </c>
      <c r="I367" s="3" t="n">
        <v>18</v>
      </c>
      <c r="J367" s="3" t="n">
        <v>0</v>
      </c>
      <c r="K367" s="4">
        <f>G367/F367</f>
        <v/>
      </c>
      <c r="L367" s="4">
        <f>H367/F367</f>
        <v/>
      </c>
      <c r="M367" s="4">
        <f>I367/F367</f>
        <v/>
      </c>
      <c r="N367" s="3" t="n">
        <v>16</v>
      </c>
      <c r="O367" s="3" t="n">
        <v>0</v>
      </c>
      <c r="P367" s="2">
        <f>IF(F367&lt;100,"종료 100마리 미만","")</f>
        <v/>
      </c>
    </row>
    <row r="368">
      <c r="A368" s="2">
        <f>RANK(K368,$K$2:$K$454)</f>
        <v/>
      </c>
      <c r="B368" s="2" t="inlineStr">
        <is>
          <t>전남광주통합특별시</t>
        </is>
      </c>
      <c r="C368" s="2" t="inlineStr">
        <is>
          <t>전남광주통합특별시 영광군</t>
        </is>
      </c>
      <c r="D368" s="2" t="inlineStr">
        <is>
          <t>영광동물보호센터</t>
        </is>
      </c>
      <c r="E368" s="2" t="inlineStr">
        <is>
          <t>346497201300001</t>
        </is>
      </c>
      <c r="F368" s="3">
        <f>SUM(G368:J368)</f>
        <v/>
      </c>
      <c r="G368" s="3" t="n">
        <v>262</v>
      </c>
      <c r="H368" s="3" t="n">
        <v>811</v>
      </c>
      <c r="I368" s="3" t="n">
        <v>97</v>
      </c>
      <c r="J368" s="3" t="n">
        <v>22</v>
      </c>
      <c r="K368" s="4">
        <f>G368/F368</f>
        <v/>
      </c>
      <c r="L368" s="4">
        <f>H368/F368</f>
        <v/>
      </c>
      <c r="M368" s="4">
        <f>I368/F368</f>
        <v/>
      </c>
      <c r="N368" s="3" t="n">
        <v>57</v>
      </c>
      <c r="O368" s="3" t="n">
        <v>9</v>
      </c>
      <c r="P368" s="2">
        <f>IF(F368&lt;100,"종료 100마리 미만","")</f>
        <v/>
      </c>
    </row>
    <row r="369">
      <c r="A369" s="2">
        <f>RANK(K369,$K$2:$K$454)</f>
        <v/>
      </c>
      <c r="B369" s="2" t="inlineStr">
        <is>
          <t>강원특별자치도</t>
        </is>
      </c>
      <c r="C369" s="2" t="inlineStr">
        <is>
          <t>강원특별자치도 고성군</t>
        </is>
      </c>
      <c r="D369" s="2" t="inlineStr">
        <is>
          <t>고성군임시보호소</t>
        </is>
      </c>
      <c r="E369" s="2" t="inlineStr">
        <is>
          <t>342434201800003</t>
        </is>
      </c>
      <c r="F369" s="3">
        <f>SUM(G369:J369)</f>
        <v/>
      </c>
      <c r="G369" s="3" t="n">
        <v>15</v>
      </c>
      <c r="H369" s="3" t="n">
        <v>43</v>
      </c>
      <c r="I369" s="3" t="n">
        <v>11</v>
      </c>
      <c r="J369" s="3" t="n">
        <v>0</v>
      </c>
      <c r="K369" s="4">
        <f>G369/F369</f>
        <v/>
      </c>
      <c r="L369" s="4">
        <f>H369/F369</f>
        <v/>
      </c>
      <c r="M369" s="4">
        <f>I369/F369</f>
        <v/>
      </c>
      <c r="N369" s="3" t="n">
        <v>11</v>
      </c>
      <c r="O369" s="3" t="n">
        <v>0</v>
      </c>
      <c r="P369" s="2">
        <f>IF(F369&lt;100,"종료 100마리 미만","")</f>
        <v/>
      </c>
    </row>
    <row r="370">
      <c r="A370" s="2">
        <f>RANK(K370,$K$2:$K$454)</f>
        <v/>
      </c>
      <c r="B370" s="2" t="inlineStr">
        <is>
          <t>경상남도</t>
        </is>
      </c>
      <c r="C370" s="2" t="inlineStr">
        <is>
          <t>경상남도 김해시</t>
        </is>
      </c>
      <c r="D370" s="2" t="inlineStr">
        <is>
          <t>누리동물병원</t>
        </is>
      </c>
      <c r="E370" s="2" t="inlineStr">
        <is>
          <t>348535202100001</t>
        </is>
      </c>
      <c r="F370" s="3">
        <f>SUM(G370:J370)</f>
        <v/>
      </c>
      <c r="G370" s="3" t="n">
        <v>249</v>
      </c>
      <c r="H370" s="3" t="n">
        <v>63</v>
      </c>
      <c r="I370" s="3" t="n">
        <v>841</v>
      </c>
      <c r="J370" s="3" t="n">
        <v>0</v>
      </c>
      <c r="K370" s="4">
        <f>G370/F370</f>
        <v/>
      </c>
      <c r="L370" s="4">
        <f>H370/F370</f>
        <v/>
      </c>
      <c r="M370" s="4">
        <f>I370/F370</f>
        <v/>
      </c>
      <c r="N370" s="3" t="n">
        <v>108</v>
      </c>
      <c r="O370" s="3" t="n">
        <v>0</v>
      </c>
      <c r="P370" s="2">
        <f>IF(F370&lt;100,"종료 100마리 미만","")</f>
        <v/>
      </c>
    </row>
    <row r="371">
      <c r="A371" s="2">
        <f>RANK(K371,$K$2:$K$454)</f>
        <v/>
      </c>
      <c r="B371" s="2" t="inlineStr">
        <is>
          <t>충청북도</t>
        </is>
      </c>
      <c r="C371" s="2" t="inlineStr">
        <is>
          <t>충청북도 음성군</t>
        </is>
      </c>
      <c r="D371" s="2" t="inlineStr">
        <is>
          <t>테오종합동물병원</t>
        </is>
      </c>
      <c r="E371" s="2" t="inlineStr">
        <is>
          <t>343447201300003</t>
        </is>
      </c>
      <c r="F371" s="3">
        <f>SUM(G371:J371)</f>
        <v/>
      </c>
      <c r="G371" s="3" t="n">
        <v>82</v>
      </c>
      <c r="H371" s="3" t="n">
        <v>231</v>
      </c>
      <c r="I371" s="3" t="n">
        <v>67</v>
      </c>
      <c r="J371" s="3" t="n">
        <v>0</v>
      </c>
      <c r="K371" s="4">
        <f>G371/F371</f>
        <v/>
      </c>
      <c r="L371" s="4">
        <f>H371/F371</f>
        <v/>
      </c>
      <c r="M371" s="4">
        <f>I371/F371</f>
        <v/>
      </c>
      <c r="N371" s="3" t="n">
        <v>10</v>
      </c>
      <c r="O371" s="3" t="n">
        <v>0</v>
      </c>
      <c r="P371" s="2">
        <f>IF(F371&lt;100,"종료 100마리 미만","")</f>
        <v/>
      </c>
    </row>
    <row r="372">
      <c r="A372" s="2">
        <f>RANK(K372,$K$2:$K$454)</f>
        <v/>
      </c>
      <c r="B372" s="2" t="inlineStr">
        <is>
          <t>경기도</t>
        </is>
      </c>
      <c r="C372" s="2" t="inlineStr">
        <is>
          <t>경기도 포천시</t>
        </is>
      </c>
      <c r="D372" s="2" t="inlineStr">
        <is>
          <t>한국동물구조관리협회</t>
        </is>
      </c>
      <c r="E372" s="2" t="inlineStr">
        <is>
          <t>341560201000002</t>
        </is>
      </c>
      <c r="F372" s="3">
        <f>SUM(G372:J372)</f>
        <v/>
      </c>
      <c r="G372" s="3" t="n">
        <v>945</v>
      </c>
      <c r="H372" s="3" t="n">
        <v>3030</v>
      </c>
      <c r="I372" s="3" t="n">
        <v>344</v>
      </c>
      <c r="J372" s="3" t="n">
        <v>120</v>
      </c>
      <c r="K372" s="4">
        <f>G372/F372</f>
        <v/>
      </c>
      <c r="L372" s="4">
        <f>H372/F372</f>
        <v/>
      </c>
      <c r="M372" s="4">
        <f>I372/F372</f>
        <v/>
      </c>
      <c r="N372" s="3" t="n">
        <v>449</v>
      </c>
      <c r="O372" s="3" t="n">
        <v>1</v>
      </c>
      <c r="P372" s="2">
        <f>IF(F372&lt;100,"종료 100마리 미만","")</f>
        <v/>
      </c>
    </row>
    <row r="373">
      <c r="A373" s="2">
        <f>RANK(K373,$K$2:$K$454)</f>
        <v/>
      </c>
      <c r="B373" s="2" t="inlineStr">
        <is>
          <t>경상남도</t>
        </is>
      </c>
      <c r="C373" s="2" t="inlineStr">
        <is>
          <t>경상남도 하동군</t>
        </is>
      </c>
      <c r="D373" s="2" t="inlineStr">
        <is>
          <t>하동군유기동물보호소</t>
        </is>
      </c>
      <c r="E373" s="2" t="inlineStr">
        <is>
          <t>348544201100001</t>
        </is>
      </c>
      <c r="F373" s="3">
        <f>SUM(G373:J373)</f>
        <v/>
      </c>
      <c r="G373" s="3" t="n">
        <v>323</v>
      </c>
      <c r="H373" s="3" t="n">
        <v>747</v>
      </c>
      <c r="I373" s="3" t="n">
        <v>451</v>
      </c>
      <c r="J373" s="3" t="n">
        <v>1</v>
      </c>
      <c r="K373" s="4">
        <f>G373/F373</f>
        <v/>
      </c>
      <c r="L373" s="4">
        <f>H373/F373</f>
        <v/>
      </c>
      <c r="M373" s="4">
        <f>I373/F373</f>
        <v/>
      </c>
      <c r="N373" s="3" t="n">
        <v>99</v>
      </c>
      <c r="O373" s="3" t="n">
        <v>0</v>
      </c>
      <c r="P373" s="2">
        <f>IF(F373&lt;100,"종료 100마리 미만","")</f>
        <v/>
      </c>
    </row>
    <row r="374">
      <c r="A374" s="2">
        <f>RANK(K374,$K$2:$K$454)</f>
        <v/>
      </c>
      <c r="B374" s="2" t="inlineStr">
        <is>
          <t>충청북도</t>
        </is>
      </c>
      <c r="C374" s="2" t="inlineStr">
        <is>
          <t>충청북도 진천군</t>
        </is>
      </c>
      <c r="D374" s="2" t="inlineStr">
        <is>
          <t>증평 가정견 훈련소</t>
        </is>
      </c>
      <c r="E374" s="2" t="inlineStr">
        <is>
          <t>343445202200001</t>
        </is>
      </c>
      <c r="F374" s="3">
        <f>SUM(G374:J374)</f>
        <v/>
      </c>
      <c r="G374" s="3" t="n">
        <v>136</v>
      </c>
      <c r="H374" s="3" t="n">
        <v>254</v>
      </c>
      <c r="I374" s="3" t="n">
        <v>260</v>
      </c>
      <c r="J374" s="3" t="n">
        <v>2</v>
      </c>
      <c r="K374" s="4">
        <f>G374/F374</f>
        <v/>
      </c>
      <c r="L374" s="4">
        <f>H374/F374</f>
        <v/>
      </c>
      <c r="M374" s="4">
        <f>I374/F374</f>
        <v/>
      </c>
      <c r="N374" s="3" t="n">
        <v>184</v>
      </c>
      <c r="O374" s="3" t="n">
        <v>2</v>
      </c>
      <c r="P374" s="2">
        <f>IF(F374&lt;100,"종료 100마리 미만","")</f>
        <v/>
      </c>
    </row>
    <row r="375">
      <c r="A375" s="2">
        <f>RANK(K375,$K$2:$K$454)</f>
        <v/>
      </c>
      <c r="B375" s="2" t="inlineStr">
        <is>
          <t>대구광역시</t>
        </is>
      </c>
      <c r="C375" s="2" t="inlineStr">
        <is>
          <t>대구광역시 군위군</t>
        </is>
      </c>
      <c r="D375" s="2" t="inlineStr">
        <is>
          <t>군위종합동물병원</t>
        </is>
      </c>
      <c r="E375" s="2" t="inlineStr">
        <is>
          <t>327514202400001</t>
        </is>
      </c>
      <c r="F375" s="3">
        <f>SUM(G375:J375)</f>
        <v/>
      </c>
      <c r="G375" s="3" t="n">
        <v>116</v>
      </c>
      <c r="H375" s="3" t="n">
        <v>395</v>
      </c>
      <c r="I375" s="3" t="n">
        <v>48</v>
      </c>
      <c r="J375" s="3" t="n">
        <v>0</v>
      </c>
      <c r="K375" s="4">
        <f>G375/F375</f>
        <v/>
      </c>
      <c r="L375" s="4">
        <f>H375/F375</f>
        <v/>
      </c>
      <c r="M375" s="4">
        <f>I375/F375</f>
        <v/>
      </c>
      <c r="N375" s="3" t="n">
        <v>6</v>
      </c>
      <c r="O375" s="3" t="n">
        <v>10</v>
      </c>
      <c r="P375" s="2">
        <f>IF(F375&lt;100,"종료 100마리 미만","")</f>
        <v/>
      </c>
    </row>
    <row r="376">
      <c r="A376" s="2">
        <f>RANK(K376,$K$2:$K$454)</f>
        <v/>
      </c>
      <c r="B376" s="2" t="inlineStr">
        <is>
          <t>울산광역시</t>
        </is>
      </c>
      <c r="C376" s="2" t="inlineStr">
        <is>
          <t>울산광역시 북구</t>
        </is>
      </c>
      <c r="D376" s="2" t="inlineStr">
        <is>
          <t>울산유기동물보호센터</t>
        </is>
      </c>
      <c r="E376" s="2" t="inlineStr">
        <is>
          <t>331372201200001</t>
        </is>
      </c>
      <c r="F376" s="3">
        <f>SUM(G376:J376)</f>
        <v/>
      </c>
      <c r="G376" s="3" t="n">
        <v>122</v>
      </c>
      <c r="H376" s="3" t="n">
        <v>151</v>
      </c>
      <c r="I376" s="3" t="n">
        <v>284</v>
      </c>
      <c r="J376" s="3" t="n">
        <v>35</v>
      </c>
      <c r="K376" s="4">
        <f>G376/F376</f>
        <v/>
      </c>
      <c r="L376" s="4">
        <f>H376/F376</f>
        <v/>
      </c>
      <c r="M376" s="4">
        <f>I376/F376</f>
        <v/>
      </c>
      <c r="N376" s="3" t="n">
        <v>119</v>
      </c>
      <c r="O376" s="3" t="n">
        <v>7</v>
      </c>
      <c r="P376" s="2">
        <f>IF(F376&lt;100,"종료 100마리 미만","")</f>
        <v/>
      </c>
    </row>
    <row r="377">
      <c r="A377" s="2">
        <f>RANK(K377,$K$2:$K$454)</f>
        <v/>
      </c>
      <c r="B377" s="2" t="inlineStr">
        <is>
          <t>충청남도</t>
        </is>
      </c>
      <c r="C377" s="2" t="inlineStr">
        <is>
          <t>충청남도 부여군</t>
        </is>
      </c>
      <c r="D377" s="2" t="inlineStr">
        <is>
          <t>남부여동물보호소</t>
        </is>
      </c>
      <c r="E377" s="2" t="inlineStr">
        <is>
          <t>344457202000001</t>
        </is>
      </c>
      <c r="F377" s="3">
        <f>SUM(G377:J377)</f>
        <v/>
      </c>
      <c r="G377" s="3" t="n">
        <v>375</v>
      </c>
      <c r="H377" s="3" t="n">
        <v>894</v>
      </c>
      <c r="I377" s="3" t="n">
        <v>538</v>
      </c>
      <c r="J377" s="3" t="n">
        <v>14</v>
      </c>
      <c r="K377" s="4">
        <f>G377/F377</f>
        <v/>
      </c>
      <c r="L377" s="4">
        <f>H377/F377</f>
        <v/>
      </c>
      <c r="M377" s="4">
        <f>I377/F377</f>
        <v/>
      </c>
      <c r="N377" s="3" t="n">
        <v>61</v>
      </c>
      <c r="O377" s="3" t="n">
        <v>66</v>
      </c>
      <c r="P377" s="2">
        <f>IF(F377&lt;100,"종료 100마리 미만","")</f>
        <v/>
      </c>
    </row>
    <row r="378">
      <c r="A378" s="2">
        <f>RANK(K378,$K$2:$K$454)</f>
        <v/>
      </c>
      <c r="B378" s="2" t="inlineStr">
        <is>
          <t>부산광역시</t>
        </is>
      </c>
      <c r="C378" s="2" t="inlineStr">
        <is>
          <t>부산광역시 강서구</t>
        </is>
      </c>
      <c r="D378" s="2" t="inlineStr">
        <is>
          <t>(사)하얀비둘기</t>
        </is>
      </c>
      <c r="E378" s="2" t="inlineStr">
        <is>
          <t>326336202200001</t>
        </is>
      </c>
      <c r="F378" s="3">
        <f>SUM(G378:J378)</f>
        <v/>
      </c>
      <c r="G378" s="3" t="n">
        <v>189</v>
      </c>
      <c r="H378" s="3" t="n">
        <v>69</v>
      </c>
      <c r="I378" s="3" t="n">
        <v>606</v>
      </c>
      <c r="J378" s="3" t="n">
        <v>82</v>
      </c>
      <c r="K378" s="4">
        <f>G378/F378</f>
        <v/>
      </c>
      <c r="L378" s="4">
        <f>H378/F378</f>
        <v/>
      </c>
      <c r="M378" s="4">
        <f>I378/F378</f>
        <v/>
      </c>
      <c r="N378" s="3" t="n">
        <v>112</v>
      </c>
      <c r="O378" s="3" t="n">
        <v>45</v>
      </c>
      <c r="P378" s="2">
        <f>IF(F378&lt;100,"종료 100마리 미만","")</f>
        <v/>
      </c>
    </row>
    <row r="379">
      <c r="A379" s="2">
        <f>RANK(K379,$K$2:$K$454)</f>
        <v/>
      </c>
      <c r="B379" s="2" t="inlineStr">
        <is>
          <t>전북특별자치도</t>
        </is>
      </c>
      <c r="C379" s="2" t="inlineStr">
        <is>
          <t>전북특별자치도 남원시</t>
        </is>
      </c>
      <c r="D379" s="2" t="inlineStr">
        <is>
          <t>청원동물병원</t>
        </is>
      </c>
      <c r="E379" s="2" t="inlineStr">
        <is>
          <t>345470200900001</t>
        </is>
      </c>
      <c r="F379" s="3">
        <f>SUM(G379:J379)</f>
        <v/>
      </c>
      <c r="G379" s="3" t="n">
        <v>136</v>
      </c>
      <c r="H379" s="3" t="n">
        <v>400</v>
      </c>
      <c r="I379" s="3" t="n">
        <v>141</v>
      </c>
      <c r="J379" s="3" t="n">
        <v>6</v>
      </c>
      <c r="K379" s="4">
        <f>G379/F379</f>
        <v/>
      </c>
      <c r="L379" s="4">
        <f>H379/F379</f>
        <v/>
      </c>
      <c r="M379" s="4">
        <f>I379/F379</f>
        <v/>
      </c>
      <c r="N379" s="3" t="n">
        <v>63</v>
      </c>
      <c r="O379" s="3" t="n">
        <v>0</v>
      </c>
      <c r="P379" s="2">
        <f>IF(F379&lt;100,"종료 100마리 미만","")</f>
        <v/>
      </c>
    </row>
    <row r="380">
      <c r="A380" s="2">
        <f>RANK(K380,$K$2:$K$454)</f>
        <v/>
      </c>
      <c r="B380" s="2" t="inlineStr">
        <is>
          <t>경상북도</t>
        </is>
      </c>
      <c r="C380" s="2" t="inlineStr">
        <is>
          <t>경상북도 고령군</t>
        </is>
      </c>
      <c r="D380" s="2" t="inlineStr">
        <is>
          <t>고령군 유기견 보호소</t>
        </is>
      </c>
      <c r="E380" s="2" t="inlineStr">
        <is>
          <t>347520202000001</t>
        </is>
      </c>
      <c r="F380" s="3">
        <f>SUM(G380:J380)</f>
        <v/>
      </c>
      <c r="G380" s="3" t="n">
        <v>205</v>
      </c>
      <c r="H380" s="3" t="n">
        <v>468</v>
      </c>
      <c r="I380" s="3" t="n">
        <v>265</v>
      </c>
      <c r="J380" s="3" t="n">
        <v>104</v>
      </c>
      <c r="K380" s="4">
        <f>G380/F380</f>
        <v/>
      </c>
      <c r="L380" s="4">
        <f>H380/F380</f>
        <v/>
      </c>
      <c r="M380" s="4">
        <f>I380/F380</f>
        <v/>
      </c>
      <c r="N380" s="3" t="n">
        <v>42</v>
      </c>
      <c r="O380" s="3" t="n">
        <v>2</v>
      </c>
      <c r="P380" s="2">
        <f>IF(F380&lt;100,"종료 100마리 미만","")</f>
        <v/>
      </c>
    </row>
    <row r="381">
      <c r="A381" s="2">
        <f>RANK(K381,$K$2:$K$454)</f>
        <v/>
      </c>
      <c r="B381" s="2" t="inlineStr">
        <is>
          <t>전남광주통합특별시</t>
        </is>
      </c>
      <c r="C381" s="2" t="inlineStr">
        <is>
          <t>전남광주통합특별시 강진군</t>
        </is>
      </c>
      <c r="D381" s="2" t="inlineStr">
        <is>
          <t>강진군 유기견 보호소</t>
        </is>
      </c>
      <c r="E381" s="2" t="inlineStr">
        <is>
          <t>346492201300001</t>
        </is>
      </c>
      <c r="F381" s="3">
        <f>SUM(G381:J381)</f>
        <v/>
      </c>
      <c r="G381" s="3" t="n">
        <v>59</v>
      </c>
      <c r="H381" s="3" t="n">
        <v>180</v>
      </c>
      <c r="I381" s="3" t="n">
        <v>65</v>
      </c>
      <c r="J381" s="3" t="n">
        <v>1</v>
      </c>
      <c r="K381" s="4">
        <f>G381/F381</f>
        <v/>
      </c>
      <c r="L381" s="4">
        <f>H381/F381</f>
        <v/>
      </c>
      <c r="M381" s="4">
        <f>I381/F381</f>
        <v/>
      </c>
      <c r="N381" s="3" t="n">
        <v>18</v>
      </c>
      <c r="O381" s="3" t="n">
        <v>0</v>
      </c>
      <c r="P381" s="2">
        <f>IF(F381&lt;100,"종료 100마리 미만","")</f>
        <v/>
      </c>
    </row>
    <row r="382">
      <c r="A382" s="2">
        <f>RANK(K382,$K$2:$K$454)</f>
        <v/>
      </c>
      <c r="B382" s="2" t="inlineStr">
        <is>
          <t>경상북도</t>
        </is>
      </c>
      <c r="C382" s="2" t="inlineStr">
        <is>
          <t>경상북도 의성군</t>
        </is>
      </c>
      <c r="D382" s="2" t="inlineStr">
        <is>
          <t>의성동물보호센터</t>
        </is>
      </c>
      <c r="E382" s="2" t="inlineStr">
        <is>
          <t>347515201900001</t>
        </is>
      </c>
      <c r="F382" s="3">
        <f>SUM(G382:J382)</f>
        <v/>
      </c>
      <c r="G382" s="3" t="n">
        <v>185</v>
      </c>
      <c r="H382" s="3" t="n">
        <v>352</v>
      </c>
      <c r="I382" s="3" t="n">
        <v>417</v>
      </c>
      <c r="J382" s="3" t="n">
        <v>7</v>
      </c>
      <c r="K382" s="4">
        <f>G382/F382</f>
        <v/>
      </c>
      <c r="L382" s="4">
        <f>H382/F382</f>
        <v/>
      </c>
      <c r="M382" s="4">
        <f>I382/F382</f>
        <v/>
      </c>
      <c r="N382" s="3" t="n">
        <v>55</v>
      </c>
      <c r="O382" s="3" t="n">
        <v>1</v>
      </c>
      <c r="P382" s="2">
        <f>IF(F382&lt;100,"종료 100마리 미만","")</f>
        <v/>
      </c>
    </row>
    <row r="383">
      <c r="A383" s="2">
        <f>RANK(K383,$K$2:$K$454)</f>
        <v/>
      </c>
      <c r="B383" s="2" t="inlineStr">
        <is>
          <t>충청북도</t>
        </is>
      </c>
      <c r="C383" s="2" t="inlineStr">
        <is>
          <t>충청북도 보은군</t>
        </is>
      </c>
      <c r="D383" s="2" t="inlineStr">
        <is>
          <t>최상오동물병원</t>
        </is>
      </c>
      <c r="E383" s="2" t="inlineStr">
        <is>
          <t>343442201300001</t>
        </is>
      </c>
      <c r="F383" s="3">
        <f>SUM(G383:J383)</f>
        <v/>
      </c>
      <c r="G383" s="3" t="n">
        <v>37</v>
      </c>
      <c r="H383" s="3" t="n">
        <v>140</v>
      </c>
      <c r="I383" s="3" t="n">
        <v>19</v>
      </c>
      <c r="J383" s="3" t="n">
        <v>1</v>
      </c>
      <c r="K383" s="4">
        <f>G383/F383</f>
        <v/>
      </c>
      <c r="L383" s="4">
        <f>H383/F383</f>
        <v/>
      </c>
      <c r="M383" s="4">
        <f>I383/F383</f>
        <v/>
      </c>
      <c r="N383" s="3" t="n">
        <v>22</v>
      </c>
      <c r="O383" s="3" t="n">
        <v>4</v>
      </c>
      <c r="P383" s="2">
        <f>IF(F383&lt;100,"종료 100마리 미만","")</f>
        <v/>
      </c>
    </row>
    <row r="384">
      <c r="A384" s="2">
        <f>RANK(K384,$K$2:$K$454)</f>
        <v/>
      </c>
      <c r="B384" s="2" t="inlineStr">
        <is>
          <t>경기도</t>
        </is>
      </c>
      <c r="C384" s="2" t="inlineStr">
        <is>
          <t>경기도 김포시</t>
        </is>
      </c>
      <c r="D384" s="2" t="inlineStr">
        <is>
          <t>한국동물구조관리협회</t>
        </is>
      </c>
      <c r="E384" s="2" t="inlineStr">
        <is>
          <t>341409201400001</t>
        </is>
      </c>
      <c r="F384" s="3">
        <f>SUM(G384:J384)</f>
        <v/>
      </c>
      <c r="G384" s="3" t="n">
        <v>655</v>
      </c>
      <c r="H384" s="3" t="n">
        <v>2448</v>
      </c>
      <c r="I384" s="3" t="n">
        <v>361</v>
      </c>
      <c r="J384" s="3" t="n">
        <v>47</v>
      </c>
      <c r="K384" s="4">
        <f>G384/F384</f>
        <v/>
      </c>
      <c r="L384" s="4">
        <f>H384/F384</f>
        <v/>
      </c>
      <c r="M384" s="4">
        <f>I384/F384</f>
        <v/>
      </c>
      <c r="N384" s="3" t="n">
        <v>471</v>
      </c>
      <c r="O384" s="3" t="n">
        <v>0</v>
      </c>
      <c r="P384" s="2">
        <f>IF(F384&lt;100,"종료 100마리 미만","")</f>
        <v/>
      </c>
    </row>
    <row r="385">
      <c r="A385" s="2">
        <f>RANK(K385,$K$2:$K$454)</f>
        <v/>
      </c>
      <c r="B385" s="2" t="inlineStr">
        <is>
          <t>부산광역시</t>
        </is>
      </c>
      <c r="C385" s="2" t="inlineStr">
        <is>
          <t>부산광역시 사하구</t>
        </is>
      </c>
      <c r="D385" s="2" t="inlineStr">
        <is>
          <t>부산동물보호센터</t>
        </is>
      </c>
      <c r="E385" s="2" t="inlineStr">
        <is>
          <t>326334202100001</t>
        </is>
      </c>
      <c r="F385" s="3">
        <f>SUM(G385:J385)</f>
        <v/>
      </c>
      <c r="G385" s="3" t="n">
        <v>181</v>
      </c>
      <c r="H385" s="3" t="n">
        <v>144</v>
      </c>
      <c r="I385" s="3" t="n">
        <v>606</v>
      </c>
      <c r="J385" s="3" t="n">
        <v>46</v>
      </c>
      <c r="K385" s="4">
        <f>G385/F385</f>
        <v/>
      </c>
      <c r="L385" s="4">
        <f>H385/F385</f>
        <v/>
      </c>
      <c r="M385" s="4">
        <f>I385/F385</f>
        <v/>
      </c>
      <c r="N385" s="3" t="n">
        <v>245</v>
      </c>
      <c r="O385" s="3" t="n">
        <v>37</v>
      </c>
      <c r="P385" s="2">
        <f>IF(F385&lt;100,"종료 100마리 미만","")</f>
        <v/>
      </c>
    </row>
    <row r="386">
      <c r="A386" s="2">
        <f>RANK(K386,$K$2:$K$454)</f>
        <v/>
      </c>
      <c r="B386" s="2" t="inlineStr">
        <is>
          <t>강원특별자치도</t>
        </is>
      </c>
      <c r="C386" s="2" t="inlineStr">
        <is>
          <t>강원특별자치도 원주시</t>
        </is>
      </c>
      <c r="D386" s="2" t="inlineStr">
        <is>
          <t>원주시동물보호센터</t>
        </is>
      </c>
      <c r="E386" s="2" t="inlineStr">
        <is>
          <t>342419200900001</t>
        </is>
      </c>
      <c r="F386" s="3">
        <f>SUM(G386:J386)</f>
        <v/>
      </c>
      <c r="G386" s="3" t="n">
        <v>341</v>
      </c>
      <c r="H386" s="3" t="n">
        <v>312</v>
      </c>
      <c r="I386" s="3" t="n">
        <v>1189</v>
      </c>
      <c r="J386" s="3" t="n">
        <v>0</v>
      </c>
      <c r="K386" s="4">
        <f>G386/F386</f>
        <v/>
      </c>
      <c r="L386" s="4">
        <f>H386/F386</f>
        <v/>
      </c>
      <c r="M386" s="4">
        <f>I386/F386</f>
        <v/>
      </c>
      <c r="N386" s="3" t="n">
        <v>843</v>
      </c>
      <c r="O386" s="3" t="n">
        <v>131</v>
      </c>
      <c r="P386" s="2">
        <f>IF(F386&lt;100,"종료 100마리 미만","")</f>
        <v/>
      </c>
    </row>
    <row r="387">
      <c r="A387" s="2">
        <f>RANK(K387,$K$2:$K$454)</f>
        <v/>
      </c>
      <c r="B387" s="2" t="inlineStr">
        <is>
          <t>경기도</t>
        </is>
      </c>
      <c r="C387" s="2" t="inlineStr">
        <is>
          <t>경기도 화성시</t>
        </is>
      </c>
      <c r="D387" s="2" t="inlineStr">
        <is>
          <t>화성동물보호센터</t>
        </is>
      </c>
      <c r="E387" s="2" t="inlineStr">
        <is>
          <t>341553201700001</t>
        </is>
      </c>
      <c r="F387" s="3">
        <f>SUM(G387:J387)</f>
        <v/>
      </c>
      <c r="G387" s="3" t="n">
        <v>1192</v>
      </c>
      <c r="H387" s="3" t="n">
        <v>2417</v>
      </c>
      <c r="I387" s="3" t="n">
        <v>2416</v>
      </c>
      <c r="J387" s="3" t="n">
        <v>439</v>
      </c>
      <c r="K387" s="4">
        <f>G387/F387</f>
        <v/>
      </c>
      <c r="L387" s="4">
        <f>H387/F387</f>
        <v/>
      </c>
      <c r="M387" s="4">
        <f>I387/F387</f>
        <v/>
      </c>
      <c r="N387" s="3" t="n">
        <v>648</v>
      </c>
      <c r="O387" s="3" t="n">
        <v>7</v>
      </c>
      <c r="P387" s="2">
        <f>IF(F387&lt;100,"종료 100마리 미만","")</f>
        <v/>
      </c>
    </row>
    <row r="388">
      <c r="A388" s="2">
        <f>RANK(K388,$K$2:$K$454)</f>
        <v/>
      </c>
      <c r="B388" s="2" t="inlineStr">
        <is>
          <t>울산광역시</t>
        </is>
      </c>
      <c r="C388" s="2" t="inlineStr">
        <is>
          <t>울산광역시 울주군</t>
        </is>
      </c>
      <c r="D388" s="2" t="inlineStr">
        <is>
          <t>와우동물병원</t>
        </is>
      </c>
      <c r="E388" s="2" t="inlineStr">
        <is>
          <t>331373201200001</t>
        </is>
      </c>
      <c r="F388" s="3">
        <f>SUM(G388:J388)</f>
        <v/>
      </c>
      <c r="G388" s="3" t="n">
        <v>4</v>
      </c>
      <c r="H388" s="3" t="n">
        <v>18</v>
      </c>
      <c r="I388" s="3" t="n">
        <v>0</v>
      </c>
      <c r="J388" s="3" t="n">
        <v>0</v>
      </c>
      <c r="K388" s="4">
        <f>G388/F388</f>
        <v/>
      </c>
      <c r="L388" s="4">
        <f>H388/F388</f>
        <v/>
      </c>
      <c r="M388" s="4">
        <f>I388/F388</f>
        <v/>
      </c>
      <c r="N388" s="3" t="n">
        <v>1</v>
      </c>
      <c r="O388" s="3" t="n">
        <v>1</v>
      </c>
      <c r="P388" s="2">
        <f>IF(F388&lt;100,"종료 100마리 미만","")</f>
        <v/>
      </c>
    </row>
    <row r="389">
      <c r="A389" s="2">
        <f>RANK(K389,$K$2:$K$454)</f>
        <v/>
      </c>
      <c r="B389" s="2" t="inlineStr">
        <is>
          <t>경상북도</t>
        </is>
      </c>
      <c r="C389" s="2" t="inlineStr">
        <is>
          <t>경상북도 울릉군</t>
        </is>
      </c>
      <c r="D389" s="2" t="inlineStr">
        <is>
          <t>울릉군농업기술센터</t>
        </is>
      </c>
      <c r="E389" s="2" t="inlineStr">
        <is>
          <t>347526201600001</t>
        </is>
      </c>
      <c r="F389" s="3">
        <f>SUM(G389:J389)</f>
        <v/>
      </c>
      <c r="G389" s="3" t="n">
        <v>2</v>
      </c>
      <c r="H389" s="3" t="n">
        <v>9</v>
      </c>
      <c r="I389" s="3" t="n">
        <v>0</v>
      </c>
      <c r="J389" s="3" t="n">
        <v>0</v>
      </c>
      <c r="K389" s="4">
        <f>G389/F389</f>
        <v/>
      </c>
      <c r="L389" s="4">
        <f>H389/F389</f>
        <v/>
      </c>
      <c r="M389" s="4">
        <f>I389/F389</f>
        <v/>
      </c>
      <c r="N389" s="3" t="n">
        <v>6</v>
      </c>
      <c r="O389" s="3" t="n">
        <v>0</v>
      </c>
      <c r="P389" s="2">
        <f>IF(F389&lt;100,"종료 100마리 미만","")</f>
        <v/>
      </c>
    </row>
    <row r="390">
      <c r="A390" s="2">
        <f>RANK(K390,$K$2:$K$454)</f>
        <v/>
      </c>
      <c r="B390" s="2" t="inlineStr">
        <is>
          <t>경상북도</t>
        </is>
      </c>
      <c r="C390" s="2" t="inlineStr">
        <is>
          <t>경상북도 영덕군</t>
        </is>
      </c>
      <c r="D390" s="2" t="inlineStr">
        <is>
          <t>영덕유기동물보호센터</t>
        </is>
      </c>
      <c r="E390" s="2" t="inlineStr">
        <is>
          <t>347518201000001</t>
        </is>
      </c>
      <c r="F390" s="3">
        <f>SUM(G390:J390)</f>
        <v/>
      </c>
      <c r="G390" s="3" t="n">
        <v>244</v>
      </c>
      <c r="H390" s="3" t="n">
        <v>724</v>
      </c>
      <c r="I390" s="3" t="n">
        <v>409</v>
      </c>
      <c r="J390" s="3" t="n">
        <v>3</v>
      </c>
      <c r="K390" s="4">
        <f>G390/F390</f>
        <v/>
      </c>
      <c r="L390" s="4">
        <f>H390/F390</f>
        <v/>
      </c>
      <c r="M390" s="4">
        <f>I390/F390</f>
        <v/>
      </c>
      <c r="N390" s="3" t="n">
        <v>110</v>
      </c>
      <c r="O390" s="3" t="n">
        <v>0</v>
      </c>
      <c r="P390" s="2">
        <f>IF(F390&lt;100,"종료 100마리 미만","")</f>
        <v/>
      </c>
    </row>
    <row r="391">
      <c r="A391" s="2">
        <f>RANK(K391,$K$2:$K$454)</f>
        <v/>
      </c>
      <c r="B391" s="2" t="inlineStr">
        <is>
          <t>경상남도</t>
        </is>
      </c>
      <c r="C391" s="2" t="inlineStr">
        <is>
          <t>경상남도 거창군</t>
        </is>
      </c>
      <c r="D391" s="2" t="inlineStr">
        <is>
          <t>거창유기동물보호센터</t>
        </is>
      </c>
      <c r="E391" s="2" t="inlineStr">
        <is>
          <t>348547202200001</t>
        </is>
      </c>
      <c r="F391" s="3">
        <f>SUM(G391:J391)</f>
        <v/>
      </c>
      <c r="G391" s="3" t="n">
        <v>154</v>
      </c>
      <c r="H391" s="3" t="n">
        <v>447</v>
      </c>
      <c r="I391" s="3" t="n">
        <v>240</v>
      </c>
      <c r="J391" s="3" t="n">
        <v>34</v>
      </c>
      <c r="K391" s="4">
        <f>G391/F391</f>
        <v/>
      </c>
      <c r="L391" s="4">
        <f>H391/F391</f>
        <v/>
      </c>
      <c r="M391" s="4">
        <f>I391/F391</f>
        <v/>
      </c>
      <c r="N391" s="3" t="n">
        <v>104</v>
      </c>
      <c r="O391" s="3" t="n">
        <v>0</v>
      </c>
      <c r="P391" s="2">
        <f>IF(F391&lt;100,"종료 100마리 미만","")</f>
        <v/>
      </c>
    </row>
    <row r="392">
      <c r="A392" s="2">
        <f>RANK(K392,$K$2:$K$454)</f>
        <v/>
      </c>
      <c r="B392" s="2" t="inlineStr">
        <is>
          <t>경상남도</t>
        </is>
      </c>
      <c r="C392" s="2" t="inlineStr">
        <is>
          <t>경상남도 김해시</t>
        </is>
      </c>
      <c r="D392" s="2" t="inlineStr">
        <is>
          <t>부산동물보호센터</t>
        </is>
      </c>
      <c r="E392" s="2" t="inlineStr">
        <is>
          <t>348535202200001</t>
        </is>
      </c>
      <c r="F392" s="3">
        <f>SUM(G392:J392)</f>
        <v/>
      </c>
      <c r="G392" s="3" t="n">
        <v>198</v>
      </c>
      <c r="H392" s="3" t="n">
        <v>214</v>
      </c>
      <c r="I392" s="3" t="n">
        <v>729</v>
      </c>
      <c r="J392" s="3" t="n">
        <v>0</v>
      </c>
      <c r="K392" s="4">
        <f>G392/F392</f>
        <v/>
      </c>
      <c r="L392" s="4">
        <f>H392/F392</f>
        <v/>
      </c>
      <c r="M392" s="4">
        <f>I392/F392</f>
        <v/>
      </c>
      <c r="N392" s="3" t="n">
        <v>81</v>
      </c>
      <c r="O392" s="3" t="n">
        <v>26</v>
      </c>
      <c r="P392" s="2">
        <f>IF(F392&lt;100,"종료 100마리 미만","")</f>
        <v/>
      </c>
    </row>
    <row r="393">
      <c r="A393" s="2">
        <f>RANK(K393,$K$2:$K$454)</f>
        <v/>
      </c>
      <c r="B393" s="2" t="inlineStr">
        <is>
          <t>전남광주통합특별시</t>
        </is>
      </c>
      <c r="C393" s="2" t="inlineStr">
        <is>
          <t>전남광주통합특별시 해남군</t>
        </is>
      </c>
      <c r="D393" s="2" t="inlineStr">
        <is>
          <t>해남유기동물보호센터</t>
        </is>
      </c>
      <c r="E393" s="2" t="inlineStr">
        <is>
          <t>346493200900001</t>
        </is>
      </c>
      <c r="F393" s="3">
        <f>SUM(G393:J393)</f>
        <v/>
      </c>
      <c r="G393" s="3" t="n">
        <v>325</v>
      </c>
      <c r="H393" s="3" t="n">
        <v>740</v>
      </c>
      <c r="I393" s="3" t="n">
        <v>804</v>
      </c>
      <c r="J393" s="3" t="n">
        <v>5</v>
      </c>
      <c r="K393" s="4">
        <f>G393/F393</f>
        <v/>
      </c>
      <c r="L393" s="4">
        <f>H393/F393</f>
        <v/>
      </c>
      <c r="M393" s="4">
        <f>I393/F393</f>
        <v/>
      </c>
      <c r="N393" s="3" t="n">
        <v>71</v>
      </c>
      <c r="O393" s="3" t="n">
        <v>2</v>
      </c>
      <c r="P393" s="2">
        <f>IF(F393&lt;100,"종료 100마리 미만","")</f>
        <v/>
      </c>
    </row>
    <row r="394">
      <c r="A394" s="2">
        <f>RANK(K394,$K$2:$K$454)</f>
        <v/>
      </c>
      <c r="B394" s="2" t="inlineStr">
        <is>
          <t>전북특별자치도</t>
        </is>
      </c>
      <c r="C394" s="2" t="inlineStr">
        <is>
          <t>전북특별자치도 고창군</t>
        </is>
      </c>
      <c r="D394" s="2" t="inlineStr">
        <is>
          <t>고창동물병원</t>
        </is>
      </c>
      <c r="E394" s="2" t="inlineStr">
        <is>
          <t>345478201400001</t>
        </is>
      </c>
      <c r="F394" s="3">
        <f>SUM(G394:J394)</f>
        <v/>
      </c>
      <c r="G394" s="3" t="n">
        <v>55</v>
      </c>
      <c r="H394" s="3" t="n">
        <v>109</v>
      </c>
      <c r="I394" s="3" t="n">
        <v>154</v>
      </c>
      <c r="J394" s="3" t="n">
        <v>0</v>
      </c>
      <c r="K394" s="4">
        <f>G394/F394</f>
        <v/>
      </c>
      <c r="L394" s="4">
        <f>H394/F394</f>
        <v/>
      </c>
      <c r="M394" s="4">
        <f>I394/F394</f>
        <v/>
      </c>
      <c r="N394" s="3" t="n">
        <v>20</v>
      </c>
      <c r="O394" s="3" t="n">
        <v>0</v>
      </c>
      <c r="P394" s="2">
        <f>IF(F394&lt;100,"종료 100마리 미만","")</f>
        <v/>
      </c>
    </row>
    <row r="395">
      <c r="A395" s="2">
        <f>RANK(K395,$K$2:$K$454)</f>
        <v/>
      </c>
      <c r="B395" s="2" t="inlineStr">
        <is>
          <t>전남광주통합특별시</t>
        </is>
      </c>
      <c r="C395" s="2" t="inlineStr">
        <is>
          <t>전남광주통합특별시 장성군</t>
        </is>
      </c>
      <c r="D395" s="2" t="inlineStr">
        <is>
          <t>장성군동물보호센터</t>
        </is>
      </c>
      <c r="E395" s="2" t="inlineStr">
        <is>
          <t>346498202000001</t>
        </is>
      </c>
      <c r="F395" s="3">
        <f>SUM(G395:J395)</f>
        <v/>
      </c>
      <c r="G395" s="3" t="n">
        <v>257</v>
      </c>
      <c r="H395" s="3" t="n">
        <v>627</v>
      </c>
      <c r="I395" s="3" t="n">
        <v>422</v>
      </c>
      <c r="J395" s="3" t="n">
        <v>198</v>
      </c>
      <c r="K395" s="4">
        <f>G395/F395</f>
        <v/>
      </c>
      <c r="L395" s="4">
        <f>H395/F395</f>
        <v/>
      </c>
      <c r="M395" s="4">
        <f>I395/F395</f>
        <v/>
      </c>
      <c r="N395" s="3" t="n">
        <v>73</v>
      </c>
      <c r="O395" s="3" t="n">
        <v>1</v>
      </c>
      <c r="P395" s="2">
        <f>IF(F395&lt;100,"종료 100마리 미만","")</f>
        <v/>
      </c>
    </row>
    <row r="396">
      <c r="A396" s="2">
        <f>RANK(K396,$K$2:$K$454)</f>
        <v/>
      </c>
      <c r="B396" s="2" t="inlineStr">
        <is>
          <t>전남광주통합특별시</t>
        </is>
      </c>
      <c r="C396" s="2" t="inlineStr">
        <is>
          <t>전남광주통합특별시 영암군</t>
        </is>
      </c>
      <c r="D396" s="2" t="inlineStr">
        <is>
          <t>유기동물 삼호 보호소</t>
        </is>
      </c>
      <c r="E396" s="2" t="inlineStr">
        <is>
          <t>346494201700001</t>
        </is>
      </c>
      <c r="F396" s="3">
        <f>SUM(G396:J396)</f>
        <v/>
      </c>
      <c r="G396" s="3" t="n">
        <v>359</v>
      </c>
      <c r="H396" s="3" t="n">
        <v>1182</v>
      </c>
      <c r="I396" s="3" t="n">
        <v>642</v>
      </c>
      <c r="J396" s="3" t="n">
        <v>1</v>
      </c>
      <c r="K396" s="4">
        <f>G396/F396</f>
        <v/>
      </c>
      <c r="L396" s="4">
        <f>H396/F396</f>
        <v/>
      </c>
      <c r="M396" s="4">
        <f>I396/F396</f>
        <v/>
      </c>
      <c r="N396" s="3" t="n">
        <v>106</v>
      </c>
      <c r="O396" s="3" t="n">
        <v>0</v>
      </c>
      <c r="P396" s="2">
        <f>IF(F396&lt;100,"종료 100마리 미만","")</f>
        <v/>
      </c>
    </row>
    <row r="397">
      <c r="A397" s="2">
        <f>RANK(K397,$K$2:$K$454)</f>
        <v/>
      </c>
      <c r="B397" s="2" t="inlineStr">
        <is>
          <t>경상남도</t>
        </is>
      </c>
      <c r="C397" s="2" t="inlineStr">
        <is>
          <t>경상남도 합천군</t>
        </is>
      </c>
      <c r="D397" s="2" t="inlineStr">
        <is>
          <t>태민동물보호센터</t>
        </is>
      </c>
      <c r="E397" s="2" t="inlineStr">
        <is>
          <t>348548201700001</t>
        </is>
      </c>
      <c r="F397" s="3">
        <f>SUM(G397:J397)</f>
        <v/>
      </c>
      <c r="G397" s="3" t="n">
        <v>372</v>
      </c>
      <c r="H397" s="3" t="n">
        <v>1600</v>
      </c>
      <c r="I397" s="3" t="n">
        <v>303</v>
      </c>
      <c r="J397" s="3" t="n">
        <v>0</v>
      </c>
      <c r="K397" s="4">
        <f>G397/F397</f>
        <v/>
      </c>
      <c r="L397" s="4">
        <f>H397/F397</f>
        <v/>
      </c>
      <c r="M397" s="4">
        <f>I397/F397</f>
        <v/>
      </c>
      <c r="N397" s="3" t="n">
        <v>1</v>
      </c>
      <c r="O397" s="3" t="n">
        <v>2</v>
      </c>
      <c r="P397" s="2">
        <f>IF(F397&lt;100,"종료 100마리 미만","")</f>
        <v/>
      </c>
    </row>
    <row r="398">
      <c r="A398" s="2">
        <f>RANK(K398,$K$2:$K$454)</f>
        <v/>
      </c>
      <c r="B398" s="2" t="inlineStr">
        <is>
          <t>경상북도</t>
        </is>
      </c>
      <c r="C398" s="2" t="inlineStr">
        <is>
          <t>경상북도 청도군</t>
        </is>
      </c>
      <c r="D398" s="2" t="inlineStr">
        <is>
          <t>청도동물보호소</t>
        </is>
      </c>
      <c r="E398" s="2" t="inlineStr">
        <is>
          <t>347519201800001</t>
        </is>
      </c>
      <c r="F398" s="3">
        <f>SUM(G398:J398)</f>
        <v/>
      </c>
      <c r="G398" s="3" t="n">
        <v>20</v>
      </c>
      <c r="H398" s="3" t="n">
        <v>54</v>
      </c>
      <c r="I398" s="3" t="n">
        <v>50</v>
      </c>
      <c r="J398" s="3" t="n">
        <v>0</v>
      </c>
      <c r="K398" s="4">
        <f>G398/F398</f>
        <v/>
      </c>
      <c r="L398" s="4">
        <f>H398/F398</f>
        <v/>
      </c>
      <c r="M398" s="4">
        <f>I398/F398</f>
        <v/>
      </c>
      <c r="N398" s="3" t="n">
        <v>11</v>
      </c>
      <c r="O398" s="3" t="n">
        <v>0</v>
      </c>
      <c r="P398" s="2">
        <f>IF(F398&lt;100,"종료 100마리 미만","")</f>
        <v/>
      </c>
    </row>
    <row r="399">
      <c r="A399" s="2">
        <f>RANK(K399,$K$2:$K$454)</f>
        <v/>
      </c>
      <c r="B399" s="2" t="inlineStr">
        <is>
          <t>울산광역시</t>
        </is>
      </c>
      <c r="C399" s="2" t="inlineStr">
        <is>
          <t>울산광역시 울주군</t>
        </is>
      </c>
      <c r="D399" s="2" t="inlineStr">
        <is>
          <t>울산유기동물보호센터</t>
        </is>
      </c>
      <c r="E399" s="2" t="inlineStr">
        <is>
          <t>331373201200002</t>
        </is>
      </c>
      <c r="F399" s="3">
        <f>SUM(G399:J399)</f>
        <v/>
      </c>
      <c r="G399" s="3" t="n">
        <v>490</v>
      </c>
      <c r="H399" s="3" t="n">
        <v>905</v>
      </c>
      <c r="I399" s="3" t="n">
        <v>1697</v>
      </c>
      <c r="J399" s="3" t="n">
        <v>71</v>
      </c>
      <c r="K399" s="4">
        <f>G399/F399</f>
        <v/>
      </c>
      <c r="L399" s="4">
        <f>H399/F399</f>
        <v/>
      </c>
      <c r="M399" s="4">
        <f>I399/F399</f>
        <v/>
      </c>
      <c r="N399" s="3" t="n">
        <v>251</v>
      </c>
      <c r="O399" s="3" t="n">
        <v>52</v>
      </c>
      <c r="P399" s="2">
        <f>IF(F399&lt;100,"종료 100마리 미만","")</f>
        <v/>
      </c>
    </row>
    <row r="400">
      <c r="A400" s="2">
        <f>RANK(K400,$K$2:$K$454)</f>
        <v/>
      </c>
      <c r="B400" s="2" t="inlineStr">
        <is>
          <t>경기도</t>
        </is>
      </c>
      <c r="C400" s="2" t="inlineStr">
        <is>
          <t>경기도 연천군</t>
        </is>
      </c>
      <c r="D400" s="2" t="inlineStr">
        <is>
          <t>한국동물구조관리협회</t>
        </is>
      </c>
      <c r="E400" s="2" t="inlineStr">
        <is>
          <t>341414201300001</t>
        </is>
      </c>
      <c r="F400" s="3">
        <f>SUM(G400:J400)</f>
        <v/>
      </c>
      <c r="G400" s="3" t="n">
        <v>296</v>
      </c>
      <c r="H400" s="3" t="n">
        <v>1377</v>
      </c>
      <c r="I400" s="3" t="n">
        <v>209</v>
      </c>
      <c r="J400" s="3" t="n">
        <v>43</v>
      </c>
      <c r="K400" s="4">
        <f>G400/F400</f>
        <v/>
      </c>
      <c r="L400" s="4">
        <f>H400/F400</f>
        <v/>
      </c>
      <c r="M400" s="4">
        <f>I400/F400</f>
        <v/>
      </c>
      <c r="N400" s="3" t="n">
        <v>263</v>
      </c>
      <c r="O400" s="3" t="n">
        <v>6</v>
      </c>
      <c r="P400" s="2">
        <f>IF(F400&lt;100,"종료 100마리 미만","")</f>
        <v/>
      </c>
    </row>
    <row r="401">
      <c r="A401" s="2">
        <f>RANK(K401,$K$2:$K$454)</f>
        <v/>
      </c>
      <c r="B401" s="2" t="inlineStr">
        <is>
          <t>경기도</t>
        </is>
      </c>
      <c r="C401" s="2" t="inlineStr">
        <is>
          <t>경기도 화성시</t>
        </is>
      </c>
      <c r="D401" s="2" t="inlineStr">
        <is>
          <t>화성시민동물보호센터</t>
        </is>
      </c>
      <c r="E401" s="2" t="inlineStr">
        <is>
          <t>341553202500001</t>
        </is>
      </c>
      <c r="F401" s="3">
        <f>SUM(G401:J401)</f>
        <v/>
      </c>
      <c r="G401" s="3" t="n">
        <v>28</v>
      </c>
      <c r="H401" s="3" t="n">
        <v>112</v>
      </c>
      <c r="I401" s="3" t="n">
        <v>45</v>
      </c>
      <c r="J401" s="3" t="n">
        <v>1</v>
      </c>
      <c r="K401" s="4">
        <f>G401/F401</f>
        <v/>
      </c>
      <c r="L401" s="4">
        <f>H401/F401</f>
        <v/>
      </c>
      <c r="M401" s="4">
        <f>I401/F401</f>
        <v/>
      </c>
      <c r="N401" s="3" t="n">
        <v>1</v>
      </c>
      <c r="O401" s="3" t="n">
        <v>2</v>
      </c>
      <c r="P401" s="2">
        <f>IF(F401&lt;100,"종료 100마리 미만","")</f>
        <v/>
      </c>
    </row>
    <row r="402">
      <c r="A402" s="2">
        <f>RANK(K402,$K$2:$K$454)</f>
        <v/>
      </c>
      <c r="B402" s="2" t="inlineStr">
        <is>
          <t>경상남도</t>
        </is>
      </c>
      <c r="C402" s="2" t="inlineStr">
        <is>
          <t>경상남도 함양군</t>
        </is>
      </c>
      <c r="D402" s="2" t="inlineStr">
        <is>
          <t>함양군 동물보호센터</t>
        </is>
      </c>
      <c r="E402" s="2" t="inlineStr">
        <is>
          <t>348546200900001</t>
        </is>
      </c>
      <c r="F402" s="3">
        <f>SUM(G402:J402)</f>
        <v/>
      </c>
      <c r="G402" s="3" t="n">
        <v>130</v>
      </c>
      <c r="H402" s="3" t="n">
        <v>389</v>
      </c>
      <c r="I402" s="3" t="n">
        <v>350</v>
      </c>
      <c r="J402" s="3" t="n">
        <v>5</v>
      </c>
      <c r="K402" s="4">
        <f>G402/F402</f>
        <v/>
      </c>
      <c r="L402" s="4">
        <f>H402/F402</f>
        <v/>
      </c>
      <c r="M402" s="4">
        <f>I402/F402</f>
        <v/>
      </c>
      <c r="N402" s="3" t="n">
        <v>68</v>
      </c>
      <c r="O402" s="3" t="n">
        <v>9</v>
      </c>
      <c r="P402" s="2">
        <f>IF(F402&lt;100,"종료 100마리 미만","")</f>
        <v/>
      </c>
    </row>
    <row r="403">
      <c r="A403" s="2">
        <f>RANK(K403,$K$2:$K$454)</f>
        <v/>
      </c>
      <c r="B403" s="2" t="inlineStr">
        <is>
          <t>울산광역시</t>
        </is>
      </c>
      <c r="C403" s="2" t="inlineStr">
        <is>
          <t>울산광역시 남구</t>
        </is>
      </c>
      <c r="D403" s="2" t="inlineStr">
        <is>
          <t>울산유기동물보호센터</t>
        </is>
      </c>
      <c r="E403" s="2" t="inlineStr">
        <is>
          <t>331370201200003</t>
        </is>
      </c>
      <c r="F403" s="3">
        <f>SUM(G403:J403)</f>
        <v/>
      </c>
      <c r="G403" s="3" t="n">
        <v>56</v>
      </c>
      <c r="H403" s="3" t="n">
        <v>120</v>
      </c>
      <c r="I403" s="3" t="n">
        <v>189</v>
      </c>
      <c r="J403" s="3" t="n">
        <v>13</v>
      </c>
      <c r="K403" s="4">
        <f>G403/F403</f>
        <v/>
      </c>
      <c r="L403" s="4">
        <f>H403/F403</f>
        <v/>
      </c>
      <c r="M403" s="4">
        <f>I403/F403</f>
        <v/>
      </c>
      <c r="N403" s="3" t="n">
        <v>75</v>
      </c>
      <c r="O403" s="3" t="n">
        <v>9</v>
      </c>
      <c r="P403" s="2">
        <f>IF(F403&lt;100,"종료 100마리 미만","")</f>
        <v/>
      </c>
    </row>
    <row r="404">
      <c r="A404" s="2">
        <f>RANK(K404,$K$2:$K$454)</f>
        <v/>
      </c>
      <c r="B404" s="2" t="inlineStr">
        <is>
          <t>경기도</t>
        </is>
      </c>
      <c r="C404" s="2" t="inlineStr">
        <is>
          <t>경기도 안성시</t>
        </is>
      </c>
      <c r="D404" s="2" t="inlineStr">
        <is>
          <t>안성시동물보호센터</t>
        </is>
      </c>
      <c r="E404" s="2" t="inlineStr">
        <is>
          <t>341408200900001</t>
        </is>
      </c>
      <c r="F404" s="3">
        <f>SUM(G404:J404)</f>
        <v/>
      </c>
      <c r="G404" s="3" t="n">
        <v>454</v>
      </c>
      <c r="H404" s="3" t="n">
        <v>1413</v>
      </c>
      <c r="I404" s="3" t="n">
        <v>917</v>
      </c>
      <c r="J404" s="3" t="n">
        <v>320</v>
      </c>
      <c r="K404" s="4">
        <f>G404/F404</f>
        <v/>
      </c>
      <c r="L404" s="4">
        <f>H404/F404</f>
        <v/>
      </c>
      <c r="M404" s="4">
        <f>I404/F404</f>
        <v/>
      </c>
      <c r="N404" s="3" t="n">
        <v>454</v>
      </c>
      <c r="O404" s="3" t="n">
        <v>2</v>
      </c>
      <c r="P404" s="2">
        <f>IF(F404&lt;100,"종료 100마리 미만","")</f>
        <v/>
      </c>
    </row>
    <row r="405">
      <c r="A405" s="2">
        <f>RANK(K405,$K$2:$K$454)</f>
        <v/>
      </c>
      <c r="B405" s="2" t="inlineStr">
        <is>
          <t>인천광역시</t>
        </is>
      </c>
      <c r="C405" s="2" t="inlineStr">
        <is>
          <t>인천광역시 서해구</t>
        </is>
      </c>
      <c r="D405" s="2" t="inlineStr">
        <is>
          <t>쉼터동물병원</t>
        </is>
      </c>
      <c r="E405" s="2" t="inlineStr">
        <is>
          <t>328356202600004</t>
        </is>
      </c>
      <c r="F405" s="3">
        <f>SUM(G405:J405)</f>
        <v/>
      </c>
      <c r="G405" s="3" t="n">
        <v>1</v>
      </c>
      <c r="H405" s="3" t="n">
        <v>0</v>
      </c>
      <c r="I405" s="3" t="n">
        <v>0</v>
      </c>
      <c r="J405" s="3" t="n">
        <v>6</v>
      </c>
      <c r="K405" s="4">
        <f>G405/F405</f>
        <v/>
      </c>
      <c r="L405" s="4">
        <f>H405/F405</f>
        <v/>
      </c>
      <c r="M405" s="4">
        <f>I405/F405</f>
        <v/>
      </c>
      <c r="N405" s="3" t="n">
        <v>0</v>
      </c>
      <c r="O405" s="3" t="n">
        <v>9</v>
      </c>
      <c r="P405" s="2">
        <f>IF(F405&lt;100,"종료 100마리 미만","")</f>
        <v/>
      </c>
    </row>
    <row r="406">
      <c r="A406" s="2">
        <f>RANK(K406,$K$2:$K$454)</f>
        <v/>
      </c>
      <c r="B406" s="2" t="inlineStr">
        <is>
          <t>강원특별자치도</t>
        </is>
      </c>
      <c r="C406" s="2" t="inlineStr">
        <is>
          <t>강원특별자치도 정선군</t>
        </is>
      </c>
      <c r="D406" s="2" t="inlineStr">
        <is>
          <t>다나동물병원</t>
        </is>
      </c>
      <c r="E406" s="2" t="inlineStr">
        <is>
          <t>342429201300002</t>
        </is>
      </c>
      <c r="F406" s="3">
        <f>SUM(G406:J406)</f>
        <v/>
      </c>
      <c r="G406" s="3" t="n">
        <v>36</v>
      </c>
      <c r="H406" s="3" t="n">
        <v>135</v>
      </c>
      <c r="I406" s="3" t="n">
        <v>84</v>
      </c>
      <c r="J406" s="3" t="n">
        <v>0</v>
      </c>
      <c r="K406" s="4">
        <f>G406/F406</f>
        <v/>
      </c>
      <c r="L406" s="4">
        <f>H406/F406</f>
        <v/>
      </c>
      <c r="M406" s="4">
        <f>I406/F406</f>
        <v/>
      </c>
      <c r="N406" s="3" t="n">
        <v>17</v>
      </c>
      <c r="O406" s="3" t="n">
        <v>0</v>
      </c>
      <c r="P406" s="2">
        <f>IF(F406&lt;100,"종료 100마리 미만","")</f>
        <v/>
      </c>
    </row>
    <row r="407">
      <c r="A407" s="2">
        <f>RANK(K407,$K$2:$K$454)</f>
        <v/>
      </c>
      <c r="B407" s="2" t="inlineStr">
        <is>
          <t>충청북도</t>
        </is>
      </c>
      <c r="C407" s="2" t="inlineStr">
        <is>
          <t>충청북도 보은군</t>
        </is>
      </c>
      <c r="D407" s="2" t="inlineStr">
        <is>
          <t>보은군동물보호센터</t>
        </is>
      </c>
      <c r="E407" s="2" t="inlineStr">
        <is>
          <t>343442202200001</t>
        </is>
      </c>
      <c r="F407" s="3">
        <f>SUM(G407:J407)</f>
        <v/>
      </c>
      <c r="G407" s="3" t="n">
        <v>43</v>
      </c>
      <c r="H407" s="3" t="n">
        <v>217</v>
      </c>
      <c r="I407" s="3" t="n">
        <v>44</v>
      </c>
      <c r="J407" s="3" t="n">
        <v>1</v>
      </c>
      <c r="K407" s="4">
        <f>G407/F407</f>
        <v/>
      </c>
      <c r="L407" s="4">
        <f>H407/F407</f>
        <v/>
      </c>
      <c r="M407" s="4">
        <f>I407/F407</f>
        <v/>
      </c>
      <c r="N407" s="3" t="n">
        <v>25</v>
      </c>
      <c r="O407" s="3" t="n">
        <v>1</v>
      </c>
      <c r="P407" s="2">
        <f>IF(F407&lt;100,"종료 100마리 미만","")</f>
        <v/>
      </c>
    </row>
    <row r="408">
      <c r="A408" s="2">
        <f>RANK(K408,$K$2:$K$454)</f>
        <v/>
      </c>
      <c r="B408" s="2" t="inlineStr">
        <is>
          <t>제주특별자치도</t>
        </is>
      </c>
      <c r="C408" s="2" t="inlineStr">
        <is>
          <t>제주특별자치도</t>
        </is>
      </c>
      <c r="D408" s="2" t="inlineStr">
        <is>
          <t>제주 동물보호센터</t>
        </is>
      </c>
      <c r="E408" s="2" t="inlineStr">
        <is>
          <t>350650201200001</t>
        </is>
      </c>
      <c r="F408" s="3">
        <f>SUM(G408:J408)</f>
        <v/>
      </c>
      <c r="G408" s="3" t="n">
        <v>2315</v>
      </c>
      <c r="H408" s="3" t="n">
        <v>10699</v>
      </c>
      <c r="I408" s="3" t="n">
        <v>2862</v>
      </c>
      <c r="J408" s="3" t="n">
        <v>785</v>
      </c>
      <c r="K408" s="4">
        <f>G408/F408</f>
        <v/>
      </c>
      <c r="L408" s="4">
        <f>H408/F408</f>
        <v/>
      </c>
      <c r="M408" s="4">
        <f>I408/F408</f>
        <v/>
      </c>
      <c r="N408" s="3" t="n">
        <v>1244</v>
      </c>
      <c r="O408" s="3" t="n">
        <v>8</v>
      </c>
      <c r="P408" s="2">
        <f>IF(F408&lt;100,"종료 100마리 미만","")</f>
        <v/>
      </c>
    </row>
    <row r="409">
      <c r="A409" s="2">
        <f>RANK(K409,$K$2:$K$454)</f>
        <v/>
      </c>
      <c r="B409" s="2" t="inlineStr">
        <is>
          <t>경상남도</t>
        </is>
      </c>
      <c r="C409" s="2" t="inlineStr">
        <is>
          <t>경상남도 의령군</t>
        </is>
      </c>
      <c r="D409" s="2" t="inlineStr">
        <is>
          <t>의령군 동물보호센터</t>
        </is>
      </c>
      <c r="E409" s="2" t="inlineStr">
        <is>
          <t>348539201900001</t>
        </is>
      </c>
      <c r="F409" s="3">
        <f>SUM(G409:J409)</f>
        <v/>
      </c>
      <c r="G409" s="3" t="n">
        <v>139</v>
      </c>
      <c r="H409" s="3" t="n">
        <v>481</v>
      </c>
      <c r="I409" s="3" t="n">
        <v>435</v>
      </c>
      <c r="J409" s="3" t="n">
        <v>0</v>
      </c>
      <c r="K409" s="4">
        <f>G409/F409</f>
        <v/>
      </c>
      <c r="L409" s="4">
        <f>H409/F409</f>
        <v/>
      </c>
      <c r="M409" s="4">
        <f>I409/F409</f>
        <v/>
      </c>
      <c r="N409" s="3" t="n">
        <v>59</v>
      </c>
      <c r="O409" s="3" t="n">
        <v>5</v>
      </c>
      <c r="P409" s="2">
        <f>IF(F409&lt;100,"종료 100마리 미만","")</f>
        <v/>
      </c>
    </row>
    <row r="410">
      <c r="A410" s="2">
        <f>RANK(K410,$K$2:$K$454)</f>
        <v/>
      </c>
      <c r="B410" s="2" t="inlineStr">
        <is>
          <t>경상남도</t>
        </is>
      </c>
      <c r="C410" s="2" t="inlineStr">
        <is>
          <t>경상남도 거창군</t>
        </is>
      </c>
      <c r="D410" s="2" t="inlineStr">
        <is>
          <t>나래동물병원</t>
        </is>
      </c>
      <c r="E410" s="2" t="inlineStr">
        <is>
          <t>348547201800001</t>
        </is>
      </c>
      <c r="F410" s="3">
        <f>SUM(G410:J410)</f>
        <v/>
      </c>
      <c r="G410" s="3" t="n">
        <v>41</v>
      </c>
      <c r="H410" s="3" t="n">
        <v>65</v>
      </c>
      <c r="I410" s="3" t="n">
        <v>209</v>
      </c>
      <c r="J410" s="3" t="n">
        <v>0</v>
      </c>
      <c r="K410" s="4">
        <f>G410/F410</f>
        <v/>
      </c>
      <c r="L410" s="4">
        <f>H410/F410</f>
        <v/>
      </c>
      <c r="M410" s="4">
        <f>I410/F410</f>
        <v/>
      </c>
      <c r="N410" s="3" t="n">
        <v>11</v>
      </c>
      <c r="O410" s="3" t="n">
        <v>0</v>
      </c>
      <c r="P410" s="2">
        <f>IF(F410&lt;100,"종료 100마리 미만","")</f>
        <v/>
      </c>
    </row>
    <row r="411">
      <c r="A411" s="2">
        <f>RANK(K411,$K$2:$K$454)</f>
        <v/>
      </c>
      <c r="B411" s="2" t="inlineStr">
        <is>
          <t>전남광주통합특별시</t>
        </is>
      </c>
      <c r="C411" s="2" t="inlineStr">
        <is>
          <t>전남광주통합특별시 함평군</t>
        </is>
      </c>
      <c r="D411" s="2" t="inlineStr">
        <is>
          <t>학교임시동물보호센터</t>
        </is>
      </c>
      <c r="E411" s="2" t="inlineStr">
        <is>
          <t>346496201800001</t>
        </is>
      </c>
      <c r="F411" s="3">
        <f>SUM(G411:J411)</f>
        <v/>
      </c>
      <c r="G411" s="3" t="n">
        <v>258</v>
      </c>
      <c r="H411" s="3" t="n">
        <v>982</v>
      </c>
      <c r="I411" s="3" t="n">
        <v>665</v>
      </c>
      <c r="J411" s="3" t="n">
        <v>98</v>
      </c>
      <c r="K411" s="4">
        <f>G411/F411</f>
        <v/>
      </c>
      <c r="L411" s="4">
        <f>H411/F411</f>
        <v/>
      </c>
      <c r="M411" s="4">
        <f>I411/F411</f>
        <v/>
      </c>
      <c r="N411" s="3" t="n">
        <v>67</v>
      </c>
      <c r="O411" s="3" t="n">
        <v>0</v>
      </c>
      <c r="P411" s="2">
        <f>IF(F411&lt;100,"종료 100마리 미만","")</f>
        <v/>
      </c>
    </row>
    <row r="412">
      <c r="A412" s="2">
        <f>RANK(K412,$K$2:$K$454)</f>
        <v/>
      </c>
      <c r="B412" s="2" t="inlineStr">
        <is>
          <t>전남광주통합특별시</t>
        </is>
      </c>
      <c r="C412" s="2" t="inlineStr">
        <is>
          <t>전남광주통합특별시 나주시</t>
        </is>
      </c>
      <c r="D412" s="2" t="inlineStr">
        <is>
          <t>나주유기동물보호센터</t>
        </is>
      </c>
      <c r="E412" s="2" t="inlineStr">
        <is>
          <t>346483202100001</t>
        </is>
      </c>
      <c r="F412" s="3">
        <f>SUM(G412:J412)</f>
        <v/>
      </c>
      <c r="G412" s="3" t="n">
        <v>691</v>
      </c>
      <c r="H412" s="3" t="n">
        <v>1989</v>
      </c>
      <c r="I412" s="3" t="n">
        <v>2728</v>
      </c>
      <c r="J412" s="3" t="n">
        <v>1</v>
      </c>
      <c r="K412" s="4">
        <f>G412/F412</f>
        <v/>
      </c>
      <c r="L412" s="4">
        <f>H412/F412</f>
        <v/>
      </c>
      <c r="M412" s="4">
        <f>I412/F412</f>
        <v/>
      </c>
      <c r="N412" s="3" t="n">
        <v>214</v>
      </c>
      <c r="O412" s="3" t="n">
        <v>8</v>
      </c>
      <c r="P412" s="2">
        <f>IF(F412&lt;100,"종료 100마리 미만","")</f>
        <v/>
      </c>
    </row>
    <row r="413">
      <c r="A413" s="2">
        <f>RANK(K413,$K$2:$K$454)</f>
        <v/>
      </c>
      <c r="B413" s="2" t="inlineStr">
        <is>
          <t>경상남도</t>
        </is>
      </c>
      <c r="C413" s="2" t="inlineStr">
        <is>
          <t>경상남도 거창군</t>
        </is>
      </c>
      <c r="D413" s="2" t="inlineStr">
        <is>
          <t>보경동물병원</t>
        </is>
      </c>
      <c r="E413" s="2" t="inlineStr">
        <is>
          <t>348547202000001</t>
        </is>
      </c>
      <c r="F413" s="3">
        <f>SUM(G413:J413)</f>
        <v/>
      </c>
      <c r="G413" s="3" t="n">
        <v>2</v>
      </c>
      <c r="H413" s="3" t="n">
        <v>14</v>
      </c>
      <c r="I413" s="3" t="n">
        <v>0</v>
      </c>
      <c r="J413" s="3" t="n">
        <v>0</v>
      </c>
      <c r="K413" s="4">
        <f>G413/F413</f>
        <v/>
      </c>
      <c r="L413" s="4">
        <f>H413/F413</f>
        <v/>
      </c>
      <c r="M413" s="4">
        <f>I413/F413</f>
        <v/>
      </c>
      <c r="N413" s="3" t="n">
        <v>0</v>
      </c>
      <c r="O413" s="3" t="n">
        <v>0</v>
      </c>
      <c r="P413" s="2">
        <f>IF(F413&lt;100,"종료 100마리 미만","")</f>
        <v/>
      </c>
    </row>
    <row r="414">
      <c r="A414" s="2">
        <f>RANK(K414,$K$2:$K$454)</f>
        <v/>
      </c>
      <c r="B414" s="2" t="inlineStr">
        <is>
          <t>경상북도</t>
        </is>
      </c>
      <c r="C414" s="2" t="inlineStr">
        <is>
          <t>경상북도 청송군</t>
        </is>
      </c>
      <c r="D414" s="2" t="inlineStr">
        <is>
          <t>점곡동물보호센터</t>
        </is>
      </c>
      <c r="E414" s="2" t="inlineStr">
        <is>
          <t>347516202000001</t>
        </is>
      </c>
      <c r="F414" s="3">
        <f>SUM(G414:J414)</f>
        <v/>
      </c>
      <c r="G414" s="3" t="n">
        <v>117</v>
      </c>
      <c r="H414" s="3" t="n">
        <v>704</v>
      </c>
      <c r="I414" s="3" t="n">
        <v>127</v>
      </c>
      <c r="J414" s="3" t="n">
        <v>7</v>
      </c>
      <c r="K414" s="4">
        <f>G414/F414</f>
        <v/>
      </c>
      <c r="L414" s="4">
        <f>H414/F414</f>
        <v/>
      </c>
      <c r="M414" s="4">
        <f>I414/F414</f>
        <v/>
      </c>
      <c r="N414" s="3" t="n">
        <v>34</v>
      </c>
      <c r="O414" s="3" t="n">
        <v>1</v>
      </c>
      <c r="P414" s="2">
        <f>IF(F414&lt;100,"종료 100마리 미만","")</f>
        <v/>
      </c>
    </row>
    <row r="415">
      <c r="A415" s="2">
        <f>RANK(K415,$K$2:$K$454)</f>
        <v/>
      </c>
      <c r="B415" s="2" t="inlineStr">
        <is>
          <t>강원특별자치도</t>
        </is>
      </c>
      <c r="C415" s="2" t="inlineStr">
        <is>
          <t>강원특별자치도 횡성군</t>
        </is>
      </c>
      <c r="D415" s="2" t="inlineStr">
        <is>
          <t>횡성유기동물보호센터</t>
        </is>
      </c>
      <c r="E415" s="2" t="inlineStr">
        <is>
          <t>342426201600001</t>
        </is>
      </c>
      <c r="F415" s="3">
        <f>SUM(G415:J415)</f>
        <v/>
      </c>
      <c r="G415" s="3" t="n">
        <v>115</v>
      </c>
      <c r="H415" s="3" t="n">
        <v>107</v>
      </c>
      <c r="I415" s="3" t="n">
        <v>714</v>
      </c>
      <c r="J415" s="3" t="n">
        <v>4</v>
      </c>
      <c r="K415" s="4">
        <f>G415/F415</f>
        <v/>
      </c>
      <c r="L415" s="4">
        <f>H415/F415</f>
        <v/>
      </c>
      <c r="M415" s="4">
        <f>I415/F415</f>
        <v/>
      </c>
      <c r="N415" s="3" t="n">
        <v>145</v>
      </c>
      <c r="O415" s="3" t="n">
        <v>28</v>
      </c>
      <c r="P415" s="2">
        <f>IF(F415&lt;100,"종료 100마리 미만","")</f>
        <v/>
      </c>
    </row>
    <row r="416">
      <c r="A416" s="2">
        <f>RANK(K416,$K$2:$K$454)</f>
        <v/>
      </c>
      <c r="B416" s="2" t="inlineStr">
        <is>
          <t>경상남도</t>
        </is>
      </c>
      <c r="C416" s="2" t="inlineStr">
        <is>
          <t>경상남도 창녕군</t>
        </is>
      </c>
      <c r="D416" s="2" t="inlineStr">
        <is>
          <t>창녕 유기동물보호소</t>
        </is>
      </c>
      <c r="E416" s="2" t="inlineStr">
        <is>
          <t>348541201300001</t>
        </is>
      </c>
      <c r="F416" s="3">
        <f>SUM(G416:J416)</f>
        <v/>
      </c>
      <c r="G416" s="3" t="n">
        <v>354</v>
      </c>
      <c r="H416" s="3" t="n">
        <v>1747</v>
      </c>
      <c r="I416" s="3" t="n">
        <v>812</v>
      </c>
      <c r="J416" s="3" t="n">
        <v>27</v>
      </c>
      <c r="K416" s="4">
        <f>G416/F416</f>
        <v/>
      </c>
      <c r="L416" s="4">
        <f>H416/F416</f>
        <v/>
      </c>
      <c r="M416" s="4">
        <f>I416/F416</f>
        <v/>
      </c>
      <c r="N416" s="3" t="n">
        <v>150</v>
      </c>
      <c r="O416" s="3" t="n">
        <v>0</v>
      </c>
      <c r="P416" s="2">
        <f>IF(F416&lt;100,"종료 100마리 미만","")</f>
        <v/>
      </c>
    </row>
    <row r="417">
      <c r="A417" s="2">
        <f>RANK(K417,$K$2:$K$454)</f>
        <v/>
      </c>
      <c r="B417" s="2" t="inlineStr">
        <is>
          <t>전남광주통합특별시</t>
        </is>
      </c>
      <c r="C417" s="2" t="inlineStr">
        <is>
          <t>전남광주통합특별시 고흥군</t>
        </is>
      </c>
      <c r="D417" s="2" t="inlineStr">
        <is>
          <t>고흥군임시보호센터</t>
        </is>
      </c>
      <c r="E417" s="2" t="inlineStr">
        <is>
          <t>346488201700001</t>
        </is>
      </c>
      <c r="F417" s="3">
        <f>SUM(G417:J417)</f>
        <v/>
      </c>
      <c r="G417" s="3" t="n">
        <v>186</v>
      </c>
      <c r="H417" s="3" t="n">
        <v>1276</v>
      </c>
      <c r="I417" s="3" t="n">
        <v>193</v>
      </c>
      <c r="J417" s="3" t="n">
        <v>0</v>
      </c>
      <c r="K417" s="4">
        <f>G417/F417</f>
        <v/>
      </c>
      <c r="L417" s="4">
        <f>H417/F417</f>
        <v/>
      </c>
      <c r="M417" s="4">
        <f>I417/F417</f>
        <v/>
      </c>
      <c r="N417" s="3" t="n">
        <v>36</v>
      </c>
      <c r="O417" s="3" t="n">
        <v>13</v>
      </c>
      <c r="P417" s="2">
        <f>IF(F417&lt;100,"종료 100마리 미만","")</f>
        <v/>
      </c>
    </row>
    <row r="418">
      <c r="A418" s="2">
        <f>RANK(K418,$K$2:$K$454)</f>
        <v/>
      </c>
      <c r="B418" s="2" t="inlineStr">
        <is>
          <t>경상남도</t>
        </is>
      </c>
      <c r="C418" s="2" t="inlineStr">
        <is>
          <t>경상남도 산청군</t>
        </is>
      </c>
      <c r="D418" s="2" t="inlineStr">
        <is>
          <t>산청동물보호센터</t>
        </is>
      </c>
      <c r="E418" s="2" t="inlineStr">
        <is>
          <t>348545201100002</t>
        </is>
      </c>
      <c r="F418" s="3">
        <f>SUM(G418:J418)</f>
        <v/>
      </c>
      <c r="G418" s="3" t="n">
        <v>63</v>
      </c>
      <c r="H418" s="3" t="n">
        <v>473</v>
      </c>
      <c r="I418" s="3" t="n">
        <v>95</v>
      </c>
      <c r="J418" s="3" t="n">
        <v>4</v>
      </c>
      <c r="K418" s="4">
        <f>G418/F418</f>
        <v/>
      </c>
      <c r="L418" s="4">
        <f>H418/F418</f>
        <v/>
      </c>
      <c r="M418" s="4">
        <f>I418/F418</f>
        <v/>
      </c>
      <c r="N418" s="3" t="n">
        <v>62</v>
      </c>
      <c r="O418" s="3" t="n">
        <v>19</v>
      </c>
      <c r="P418" s="2">
        <f>IF(F418&lt;100,"종료 100마리 미만","")</f>
        <v/>
      </c>
    </row>
    <row r="419">
      <c r="A419" s="2">
        <f>RANK(K419,$K$2:$K$454)</f>
        <v/>
      </c>
      <c r="B419" s="2" t="inlineStr">
        <is>
          <t>충청남도</t>
        </is>
      </c>
      <c r="C419" s="2" t="inlineStr">
        <is>
          <t>충청남도 서천군</t>
        </is>
      </c>
      <c r="D419" s="2" t="inlineStr">
        <is>
          <t>서천군유기동물보호소</t>
        </is>
      </c>
      <c r="E419" s="2" t="inlineStr">
        <is>
          <t>344458201300001</t>
        </is>
      </c>
      <c r="F419" s="3">
        <f>SUM(G419:J419)</f>
        <v/>
      </c>
      <c r="G419" s="3" t="n">
        <v>89</v>
      </c>
      <c r="H419" s="3" t="n">
        <v>694</v>
      </c>
      <c r="I419" s="3" t="n">
        <v>210</v>
      </c>
      <c r="J419" s="3" t="n">
        <v>0</v>
      </c>
      <c r="K419" s="4">
        <f>G419/F419</f>
        <v/>
      </c>
      <c r="L419" s="4">
        <f>H419/F419</f>
        <v/>
      </c>
      <c r="M419" s="4">
        <f>I419/F419</f>
        <v/>
      </c>
      <c r="N419" s="3" t="n">
        <v>40</v>
      </c>
      <c r="O419" s="3" t="n">
        <v>0</v>
      </c>
      <c r="P419" s="2">
        <f>IF(F419&lt;100,"종료 100마리 미만","")</f>
        <v/>
      </c>
    </row>
    <row r="420">
      <c r="A420" s="2">
        <f>RANK(K420,$K$2:$K$454)</f>
        <v/>
      </c>
      <c r="B420" s="2" t="inlineStr">
        <is>
          <t>충청북도</t>
        </is>
      </c>
      <c r="C420" s="2" t="inlineStr">
        <is>
          <t>충청북도 영동군</t>
        </is>
      </c>
      <c r="D420" s="2" t="inlineStr">
        <is>
          <t>최종주동물병원</t>
        </is>
      </c>
      <c r="E420" s="2" t="inlineStr">
        <is>
          <t>343444200900002</t>
        </is>
      </c>
      <c r="F420" s="3">
        <f>SUM(G420:J420)</f>
        <v/>
      </c>
      <c r="G420" s="3" t="n">
        <v>74</v>
      </c>
      <c r="H420" s="3" t="n">
        <v>408</v>
      </c>
      <c r="I420" s="3" t="n">
        <v>403</v>
      </c>
      <c r="J420" s="3" t="n">
        <v>0</v>
      </c>
      <c r="K420" s="4">
        <f>G420/F420</f>
        <v/>
      </c>
      <c r="L420" s="4">
        <f>H420/F420</f>
        <v/>
      </c>
      <c r="M420" s="4">
        <f>I420/F420</f>
        <v/>
      </c>
      <c r="N420" s="3" t="n">
        <v>157</v>
      </c>
      <c r="O420" s="3" t="n">
        <v>10</v>
      </c>
      <c r="P420" s="2">
        <f>IF(F420&lt;100,"종료 100마리 미만","")</f>
        <v/>
      </c>
    </row>
    <row r="421">
      <c r="A421" s="2">
        <f>RANK(K421,$K$2:$K$454)</f>
        <v/>
      </c>
      <c r="B421" s="2" t="inlineStr">
        <is>
          <t>서울특별시</t>
        </is>
      </c>
      <c r="C421" s="2" t="inlineStr">
        <is>
          <t>서울특별시 강북구</t>
        </is>
      </c>
      <c r="D421" s="2" t="inlineStr">
        <is>
          <t>한국동물구조관리협회</t>
        </is>
      </c>
      <c r="E421" s="2" t="inlineStr">
        <is>
          <t>311308201100001</t>
        </is>
      </c>
      <c r="F421" s="3">
        <f>SUM(G421:J421)</f>
        <v/>
      </c>
      <c r="G421" s="3" t="n">
        <v>3</v>
      </c>
      <c r="H421" s="3" t="n">
        <v>0</v>
      </c>
      <c r="I421" s="3" t="n">
        <v>1</v>
      </c>
      <c r="J421" s="3" t="n">
        <v>34</v>
      </c>
      <c r="K421" s="4">
        <f>G421/F421</f>
        <v/>
      </c>
      <c r="L421" s="4">
        <f>H421/F421</f>
        <v/>
      </c>
      <c r="M421" s="4">
        <f>I421/F421</f>
        <v/>
      </c>
      <c r="N421" s="3" t="n">
        <v>0</v>
      </c>
      <c r="O421" s="3" t="n">
        <v>0</v>
      </c>
      <c r="P421" s="2">
        <f>IF(F421&lt;100,"종료 100마리 미만","")</f>
        <v/>
      </c>
    </row>
    <row r="422">
      <c r="A422" s="2">
        <f>RANK(K422,$K$2:$K$454)</f>
        <v/>
      </c>
      <c r="B422" s="2" t="inlineStr">
        <is>
          <t>전남광주통합특별시</t>
        </is>
      </c>
      <c r="C422" s="2" t="inlineStr">
        <is>
          <t>전남광주통합특별시 진도군</t>
        </is>
      </c>
      <c r="D422" s="2" t="inlineStr">
        <is>
          <t>진도군임시보호소</t>
        </is>
      </c>
      <c r="E422" s="2" t="inlineStr">
        <is>
          <t>346500202400001</t>
        </is>
      </c>
      <c r="F422" s="3">
        <f>SUM(G422:J422)</f>
        <v/>
      </c>
      <c r="G422" s="3" t="n">
        <v>1</v>
      </c>
      <c r="H422" s="3" t="n">
        <v>11</v>
      </c>
      <c r="I422" s="3" t="n">
        <v>1</v>
      </c>
      <c r="J422" s="3" t="n">
        <v>0</v>
      </c>
      <c r="K422" s="4">
        <f>G422/F422</f>
        <v/>
      </c>
      <c r="L422" s="4">
        <f>H422/F422</f>
        <v/>
      </c>
      <c r="M422" s="4">
        <f>I422/F422</f>
        <v/>
      </c>
      <c r="N422" s="3" t="n">
        <v>1</v>
      </c>
      <c r="O422" s="3" t="n">
        <v>0</v>
      </c>
      <c r="P422" s="2">
        <f>IF(F422&lt;100,"종료 100마리 미만","")</f>
        <v/>
      </c>
    </row>
    <row r="423">
      <c r="A423" s="2">
        <f>RANK(K423,$K$2:$K$454)</f>
        <v/>
      </c>
      <c r="B423" s="2" t="inlineStr">
        <is>
          <t>전남광주통합특별시</t>
        </is>
      </c>
      <c r="C423" s="2" t="inlineStr">
        <is>
          <t>전남광주통합특별시 진도군</t>
        </is>
      </c>
      <c r="D423" s="2" t="inlineStr">
        <is>
          <t>진도군임시보호소</t>
        </is>
      </c>
      <c r="E423" s="2" t="inlineStr">
        <is>
          <t>346500202400002</t>
        </is>
      </c>
      <c r="F423" s="3">
        <f>SUM(G423:J423)</f>
        <v/>
      </c>
      <c r="G423" s="3" t="n">
        <v>6</v>
      </c>
      <c r="H423" s="3" t="n">
        <v>65</v>
      </c>
      <c r="I423" s="3" t="n">
        <v>14</v>
      </c>
      <c r="J423" s="3" t="n">
        <v>0</v>
      </c>
      <c r="K423" s="4">
        <f>G423/F423</f>
        <v/>
      </c>
      <c r="L423" s="4">
        <f>H423/F423</f>
        <v/>
      </c>
      <c r="M423" s="4">
        <f>I423/F423</f>
        <v/>
      </c>
      <c r="N423" s="3" t="n">
        <v>12</v>
      </c>
      <c r="O423" s="3" t="n">
        <v>0</v>
      </c>
      <c r="P423" s="2">
        <f>IF(F423&lt;100,"종료 100마리 미만","")</f>
        <v/>
      </c>
    </row>
    <row r="424">
      <c r="A424" s="2">
        <f>RANK(K424,$K$2:$K$454)</f>
        <v/>
      </c>
      <c r="B424" s="2" t="inlineStr">
        <is>
          <t>전북특별자치도</t>
        </is>
      </c>
      <c r="C424" s="2" t="inlineStr">
        <is>
          <t>전북특별자치도 고창군</t>
        </is>
      </c>
      <c r="D424" s="2" t="inlineStr">
        <is>
          <t>더나은동물병원</t>
        </is>
      </c>
      <c r="E424" s="2" t="inlineStr">
        <is>
          <t>345478202200001</t>
        </is>
      </c>
      <c r="F424" s="3">
        <f>SUM(G424:J424)</f>
        <v/>
      </c>
      <c r="G424" s="3" t="n">
        <v>94</v>
      </c>
      <c r="H424" s="3" t="n">
        <v>820</v>
      </c>
      <c r="I424" s="3" t="n">
        <v>456</v>
      </c>
      <c r="J424" s="3" t="n">
        <v>4</v>
      </c>
      <c r="K424" s="4">
        <f>G424/F424</f>
        <v/>
      </c>
      <c r="L424" s="4">
        <f>H424/F424</f>
        <v/>
      </c>
      <c r="M424" s="4">
        <f>I424/F424</f>
        <v/>
      </c>
      <c r="N424" s="3" t="n">
        <v>53</v>
      </c>
      <c r="O424" s="3" t="n">
        <v>1</v>
      </c>
      <c r="P424" s="2">
        <f>IF(F424&lt;100,"종료 100마리 미만","")</f>
        <v/>
      </c>
    </row>
    <row r="425">
      <c r="A425" s="2">
        <f>RANK(K425,$K$2:$K$454)</f>
        <v/>
      </c>
      <c r="B425" s="2" t="inlineStr">
        <is>
          <t>전남광주통합특별시</t>
        </is>
      </c>
      <c r="C425" s="2" t="inlineStr">
        <is>
          <t>전남광주통합특별시 화순군</t>
        </is>
      </c>
      <c r="D425" s="2" t="inlineStr">
        <is>
          <t>화순군유기동물보호소</t>
        </is>
      </c>
      <c r="E425" s="2" t="inlineStr">
        <is>
          <t>346490202000001</t>
        </is>
      </c>
      <c r="F425" s="3">
        <f>SUM(G425:J425)</f>
        <v/>
      </c>
      <c r="G425" s="3" t="n">
        <v>69</v>
      </c>
      <c r="H425" s="3" t="n">
        <v>127</v>
      </c>
      <c r="I425" s="3" t="n">
        <v>859</v>
      </c>
      <c r="J425" s="3" t="n">
        <v>0</v>
      </c>
      <c r="K425" s="4">
        <f>G425/F425</f>
        <v/>
      </c>
      <c r="L425" s="4">
        <f>H425/F425</f>
        <v/>
      </c>
      <c r="M425" s="4">
        <f>I425/F425</f>
        <v/>
      </c>
      <c r="N425" s="3" t="n">
        <v>110</v>
      </c>
      <c r="O425" s="3" t="n">
        <v>0</v>
      </c>
      <c r="P425" s="2">
        <f>IF(F425&lt;100,"종료 100마리 미만","")</f>
        <v/>
      </c>
    </row>
    <row r="426">
      <c r="A426" s="2">
        <f>RANK(K426,$K$2:$K$454)</f>
        <v/>
      </c>
      <c r="B426" s="2" t="inlineStr">
        <is>
          <t>전남광주통합특별시</t>
        </is>
      </c>
      <c r="C426" s="2" t="inlineStr">
        <is>
          <t>전남광주통합특별시 완도군</t>
        </is>
      </c>
      <c r="D426" s="2" t="inlineStr">
        <is>
          <t>유기동물임시보호센터</t>
        </is>
      </c>
      <c r="E426" s="2" t="inlineStr">
        <is>
          <t>346499201300001</t>
        </is>
      </c>
      <c r="F426" s="3">
        <f>SUM(G426:J426)</f>
        <v/>
      </c>
      <c r="G426" s="3" t="n">
        <v>94</v>
      </c>
      <c r="H426" s="3" t="n">
        <v>480</v>
      </c>
      <c r="I426" s="3" t="n">
        <v>957</v>
      </c>
      <c r="J426" s="3" t="n">
        <v>0</v>
      </c>
      <c r="K426" s="4">
        <f>G426/F426</f>
        <v/>
      </c>
      <c r="L426" s="4">
        <f>H426/F426</f>
        <v/>
      </c>
      <c r="M426" s="4">
        <f>I426/F426</f>
        <v/>
      </c>
      <c r="N426" s="3" t="n">
        <v>54</v>
      </c>
      <c r="O426" s="3" t="n">
        <v>1</v>
      </c>
      <c r="P426" s="2">
        <f>IF(F426&lt;100,"종료 100마리 미만","")</f>
        <v/>
      </c>
    </row>
    <row r="427">
      <c r="A427" s="2">
        <f>RANK(K427,$K$2:$K$454)</f>
        <v/>
      </c>
      <c r="B427" s="2" t="inlineStr">
        <is>
          <t>부산광역시</t>
        </is>
      </c>
      <c r="C427" s="2" t="inlineStr">
        <is>
          <t>부산광역시 기장군</t>
        </is>
      </c>
      <c r="D427" s="2" t="inlineStr">
        <is>
          <t>사단법인 하얀비둘기</t>
        </is>
      </c>
      <c r="E427" s="2" t="inlineStr">
        <is>
          <t>326340202100001</t>
        </is>
      </c>
      <c r="F427" s="3">
        <f>SUM(G427:J427)</f>
        <v/>
      </c>
      <c r="G427" s="3" t="n">
        <v>1</v>
      </c>
      <c r="H427" s="3" t="n">
        <v>9</v>
      </c>
      <c r="I427" s="3" t="n">
        <v>9</v>
      </c>
      <c r="J427" s="3" t="n">
        <v>0</v>
      </c>
      <c r="K427" s="4">
        <f>G427/F427</f>
        <v/>
      </c>
      <c r="L427" s="4">
        <f>H427/F427</f>
        <v/>
      </c>
      <c r="M427" s="4">
        <f>I427/F427</f>
        <v/>
      </c>
      <c r="N427" s="3" t="n">
        <v>0</v>
      </c>
      <c r="O427" s="3" t="n">
        <v>31</v>
      </c>
      <c r="P427" s="2">
        <f>IF(F427&lt;100,"종료 100마리 미만","")</f>
        <v/>
      </c>
    </row>
    <row r="428">
      <c r="A428" s="2">
        <f>RANK(K428,$K$2:$K$454)</f>
        <v/>
      </c>
      <c r="B428" s="2" t="inlineStr">
        <is>
          <t>강원특별자치도</t>
        </is>
      </c>
      <c r="C428" s="2" t="inlineStr">
        <is>
          <t>강원특별자치도 고성군</t>
        </is>
      </c>
      <c r="D428" s="2" t="inlineStr">
        <is>
          <t>고성군임시보호소</t>
        </is>
      </c>
      <c r="E428" s="2" t="inlineStr">
        <is>
          <t>342434202300001</t>
        </is>
      </c>
      <c r="F428" s="3">
        <f>SUM(G428:J428)</f>
        <v/>
      </c>
      <c r="G428" s="3" t="n">
        <v>0</v>
      </c>
      <c r="H428" s="3" t="n">
        <v>62</v>
      </c>
      <c r="I428" s="3" t="n">
        <v>1</v>
      </c>
      <c r="J428" s="3" t="n">
        <v>0</v>
      </c>
      <c r="K428" s="4">
        <f>G428/F428</f>
        <v/>
      </c>
      <c r="L428" s="4">
        <f>H428/F428</f>
        <v/>
      </c>
      <c r="M428" s="4">
        <f>I428/F428</f>
        <v/>
      </c>
      <c r="N428" s="3" t="n">
        <v>0</v>
      </c>
      <c r="O428" s="3" t="n">
        <v>0</v>
      </c>
      <c r="P428" s="2">
        <f>IF(F428&lt;100,"종료 100마리 미만","")</f>
        <v/>
      </c>
    </row>
    <row r="429">
      <c r="A429" s="2">
        <f>RANK(K429,$K$2:$K$454)</f>
        <v/>
      </c>
      <c r="B429" s="2" t="inlineStr">
        <is>
          <t>서울특별시</t>
        </is>
      </c>
      <c r="C429" s="2" t="inlineStr">
        <is>
          <t>서울특별시 마포구</t>
        </is>
      </c>
      <c r="D429" s="2" t="inlineStr">
        <is>
          <t>서울동물복지지원센터</t>
        </is>
      </c>
      <c r="E429" s="2" t="inlineStr">
        <is>
          <t>311313202100001</t>
        </is>
      </c>
      <c r="F429" s="3">
        <f>SUM(G429:J429)</f>
        <v/>
      </c>
      <c r="G429" s="3" t="n">
        <v>0</v>
      </c>
      <c r="H429" s="3" t="n">
        <v>0</v>
      </c>
      <c r="I429" s="3" t="n">
        <v>0</v>
      </c>
      <c r="J429" s="3" t="n">
        <v>7</v>
      </c>
      <c r="K429" s="4">
        <f>G429/F429</f>
        <v/>
      </c>
      <c r="L429" s="4">
        <f>H429/F429</f>
        <v/>
      </c>
      <c r="M429" s="4">
        <f>I429/F429</f>
        <v/>
      </c>
      <c r="N429" s="3" t="n">
        <v>0</v>
      </c>
      <c r="O429" s="3" t="n">
        <v>0</v>
      </c>
      <c r="P429" s="2">
        <f>IF(F429&lt;100,"종료 100마리 미만","")</f>
        <v/>
      </c>
    </row>
    <row r="430">
      <c r="A430" s="2">
        <f>RANK(K430,$K$2:$K$454)</f>
        <v/>
      </c>
      <c r="B430" s="2" t="inlineStr">
        <is>
          <t>경상북도</t>
        </is>
      </c>
      <c r="C430" s="2" t="inlineStr">
        <is>
          <t>경상북도 고령군</t>
        </is>
      </c>
      <c r="D430" s="2" t="inlineStr">
        <is>
          <t>라파동물병원</t>
        </is>
      </c>
      <c r="E430" s="2" t="inlineStr">
        <is>
          <t>347520201300001</t>
        </is>
      </c>
      <c r="F430" s="3">
        <f>SUM(G430:J430)</f>
        <v/>
      </c>
      <c r="G430" s="3" t="n">
        <v>0</v>
      </c>
      <c r="H430" s="3" t="n">
        <v>3</v>
      </c>
      <c r="I430" s="3" t="n">
        <v>3</v>
      </c>
      <c r="J430" s="3" t="n">
        <v>0</v>
      </c>
      <c r="K430" s="4">
        <f>G430/F430</f>
        <v/>
      </c>
      <c r="L430" s="4">
        <f>H430/F430</f>
        <v/>
      </c>
      <c r="M430" s="4">
        <f>I430/F430</f>
        <v/>
      </c>
      <c r="N430" s="3" t="n">
        <v>0</v>
      </c>
      <c r="O430" s="3" t="n">
        <v>0</v>
      </c>
      <c r="P430" s="2">
        <f>IF(F430&lt;100,"종료 100마리 미만","")</f>
        <v/>
      </c>
    </row>
    <row r="431">
      <c r="A431" s="2">
        <f>RANK(K431,$K$2:$K$454)</f>
        <v/>
      </c>
      <c r="B431" s="2" t="inlineStr">
        <is>
          <t>울산광역시</t>
        </is>
      </c>
      <c r="C431" s="2" t="inlineStr">
        <is>
          <t>울산광역시 북구</t>
        </is>
      </c>
      <c r="D431" s="2" t="inlineStr">
        <is>
          <t>산타클라라동물병원</t>
        </is>
      </c>
      <c r="E431" s="2" t="inlineStr">
        <is>
          <t>331372202500001</t>
        </is>
      </c>
      <c r="F431" s="3">
        <f>SUM(G431:J431)</f>
        <v/>
      </c>
      <c r="G431" s="3" t="n">
        <v>0</v>
      </c>
      <c r="H431" s="3" t="n">
        <v>0</v>
      </c>
      <c r="I431" s="3" t="n">
        <v>4</v>
      </c>
      <c r="J431" s="3" t="n">
        <v>0</v>
      </c>
      <c r="K431" s="4">
        <f>G431/F431</f>
        <v/>
      </c>
      <c r="L431" s="4">
        <f>H431/F431</f>
        <v/>
      </c>
      <c r="M431" s="4">
        <f>I431/F431</f>
        <v/>
      </c>
      <c r="N431" s="3" t="n">
        <v>0</v>
      </c>
      <c r="O431" s="3" t="n">
        <v>0</v>
      </c>
      <c r="P431" s="2">
        <f>IF(F431&lt;100,"종료 100마리 미만","")</f>
        <v/>
      </c>
    </row>
    <row r="432">
      <c r="A432" s="2">
        <f>RANK(K432,$K$2:$K$454)</f>
        <v/>
      </c>
      <c r="B432" s="2" t="inlineStr">
        <is>
          <t>서울특별시</t>
        </is>
      </c>
      <c r="C432" s="2" t="inlineStr">
        <is>
          <t>서울특별시 노원구</t>
        </is>
      </c>
      <c r="D432" s="2" t="inlineStr">
        <is>
          <t>서울동물복지지원센터</t>
        </is>
      </c>
      <c r="E432" s="2" t="inlineStr">
        <is>
          <t>311310202200001</t>
        </is>
      </c>
      <c r="F432" s="3">
        <f>SUM(G432:J432)</f>
        <v/>
      </c>
      <c r="G432" s="3" t="n">
        <v>0</v>
      </c>
      <c r="H432" s="3" t="n">
        <v>0</v>
      </c>
      <c r="I432" s="3" t="n">
        <v>0</v>
      </c>
      <c r="J432" s="3" t="n">
        <v>3</v>
      </c>
      <c r="K432" s="4">
        <f>G432/F432</f>
        <v/>
      </c>
      <c r="L432" s="4">
        <f>H432/F432</f>
        <v/>
      </c>
      <c r="M432" s="4">
        <f>I432/F432</f>
        <v/>
      </c>
      <c r="N432" s="3" t="n">
        <v>0</v>
      </c>
      <c r="O432" s="3" t="n">
        <v>0</v>
      </c>
      <c r="P432" s="2">
        <f>IF(F432&lt;100,"종료 100마리 미만","")</f>
        <v/>
      </c>
    </row>
    <row r="433">
      <c r="A433" s="2">
        <f>RANK(K433,$K$2:$K$454)</f>
        <v/>
      </c>
      <c r="B433" s="2" t="inlineStr">
        <is>
          <t>서울특별시</t>
        </is>
      </c>
      <c r="C433" s="2" t="inlineStr">
        <is>
          <t>서울특별시 은평구</t>
        </is>
      </c>
      <c r="D433" s="2" t="inlineStr">
        <is>
          <t>서울동물복지지원센터</t>
        </is>
      </c>
      <c r="E433" s="2" t="inlineStr">
        <is>
          <t>311311202200001</t>
        </is>
      </c>
      <c r="F433" s="3">
        <f>SUM(G433:J433)</f>
        <v/>
      </c>
      <c r="G433" s="3" t="n">
        <v>0</v>
      </c>
      <c r="H433" s="3" t="n">
        <v>0</v>
      </c>
      <c r="I433" s="3" t="n">
        <v>0</v>
      </c>
      <c r="J433" s="3" t="n">
        <v>3</v>
      </c>
      <c r="K433" s="4">
        <f>G433/F433</f>
        <v/>
      </c>
      <c r="L433" s="4">
        <f>H433/F433</f>
        <v/>
      </c>
      <c r="M433" s="4">
        <f>I433/F433</f>
        <v/>
      </c>
      <c r="N433" s="3" t="n">
        <v>0</v>
      </c>
      <c r="O433" s="3" t="n">
        <v>0</v>
      </c>
      <c r="P433" s="2">
        <f>IF(F433&lt;100,"종료 100마리 미만","")</f>
        <v/>
      </c>
    </row>
    <row r="434">
      <c r="A434" s="2">
        <f>RANK(K434,$K$2:$K$454)</f>
        <v/>
      </c>
      <c r="B434" s="2" t="inlineStr">
        <is>
          <t>충청북도</t>
        </is>
      </c>
      <c r="C434" s="2" t="inlineStr">
        <is>
          <t>충청북도 진천군</t>
        </is>
      </c>
      <c r="D434" s="2" t="inlineStr">
        <is>
          <t>오수의과 동물병원</t>
        </is>
      </c>
      <c r="E434" s="2" t="inlineStr">
        <is>
          <t>343445202200002</t>
        </is>
      </c>
      <c r="F434" s="3">
        <f>SUM(G434:J434)</f>
        <v/>
      </c>
      <c r="G434" s="3" t="n">
        <v>0</v>
      </c>
      <c r="H434" s="3" t="n">
        <v>3</v>
      </c>
      <c r="I434" s="3" t="n">
        <v>0</v>
      </c>
      <c r="J434" s="3" t="n">
        <v>0</v>
      </c>
      <c r="K434" s="4">
        <f>G434/F434</f>
        <v/>
      </c>
      <c r="L434" s="4">
        <f>H434/F434</f>
        <v/>
      </c>
      <c r="M434" s="4">
        <f>I434/F434</f>
        <v/>
      </c>
      <c r="N434" s="3" t="n">
        <v>0</v>
      </c>
      <c r="O434" s="3" t="n">
        <v>0</v>
      </c>
      <c r="P434" s="2">
        <f>IF(F434&lt;100,"종료 100마리 미만","")</f>
        <v/>
      </c>
    </row>
    <row r="435">
      <c r="A435" s="2">
        <f>RANK(K435,$K$2:$K$454)</f>
        <v/>
      </c>
      <c r="B435" s="2" t="inlineStr">
        <is>
          <t>대구광역시</t>
        </is>
      </c>
      <c r="C435" s="2" t="inlineStr">
        <is>
          <t>대구광역시 달성군</t>
        </is>
      </c>
      <c r="D435" s="2" t="inlineStr">
        <is>
          <t>119동물병원</t>
        </is>
      </c>
      <c r="E435" s="2" t="inlineStr">
        <is>
          <t>327348201700003</t>
        </is>
      </c>
      <c r="F435" s="3">
        <f>SUM(G435:J435)</f>
        <v/>
      </c>
      <c r="G435" s="3" t="n">
        <v>0</v>
      </c>
      <c r="H435" s="3" t="n">
        <v>0</v>
      </c>
      <c r="I435" s="3" t="n">
        <v>0</v>
      </c>
      <c r="J435" s="3" t="n">
        <v>2</v>
      </c>
      <c r="K435" s="4">
        <f>G435/F435</f>
        <v/>
      </c>
      <c r="L435" s="4">
        <f>H435/F435</f>
        <v/>
      </c>
      <c r="M435" s="4">
        <f>I435/F435</f>
        <v/>
      </c>
      <c r="N435" s="3" t="n">
        <v>0</v>
      </c>
      <c r="O435" s="3" t="n">
        <v>3</v>
      </c>
      <c r="P435" s="2">
        <f>IF(F435&lt;100,"종료 100마리 미만","")</f>
        <v/>
      </c>
    </row>
    <row r="436">
      <c r="A436" s="2">
        <f>RANK(K436,$K$2:$K$454)</f>
        <v/>
      </c>
      <c r="B436" s="2" t="inlineStr">
        <is>
          <t>강원특별자치도</t>
        </is>
      </c>
      <c r="C436" s="2" t="inlineStr">
        <is>
          <t>강원특별자치도 철원군</t>
        </is>
      </c>
      <c r="D436" s="2" t="inlineStr">
        <is>
          <t>성일동물병원</t>
        </is>
      </c>
      <c r="E436" s="2" t="inlineStr">
        <is>
          <t>342430200900001</t>
        </is>
      </c>
      <c r="F436" s="3">
        <f>SUM(G436:J436)</f>
        <v/>
      </c>
      <c r="G436" s="3" t="n">
        <v>0</v>
      </c>
      <c r="H436" s="3" t="n">
        <v>0</v>
      </c>
      <c r="I436" s="3" t="n">
        <v>2</v>
      </c>
      <c r="J436" s="3" t="n">
        <v>0</v>
      </c>
      <c r="K436" s="4">
        <f>G436/F436</f>
        <v/>
      </c>
      <c r="L436" s="4">
        <f>H436/F436</f>
        <v/>
      </c>
      <c r="M436" s="4">
        <f>I436/F436</f>
        <v/>
      </c>
      <c r="N436" s="3" t="n">
        <v>0</v>
      </c>
      <c r="O436" s="3" t="n">
        <v>0</v>
      </c>
      <c r="P436" s="2">
        <f>IF(F436&lt;100,"종료 100마리 미만","")</f>
        <v/>
      </c>
    </row>
    <row r="437">
      <c r="A437" s="2">
        <f>RANK(K437,$K$2:$K$454)</f>
        <v/>
      </c>
      <c r="B437" s="2" t="inlineStr">
        <is>
          <t>충청남도</t>
        </is>
      </c>
      <c r="C437" s="2" t="inlineStr">
        <is>
          <t>충청남도 보령시</t>
        </is>
      </c>
      <c r="D437" s="2" t="inlineStr">
        <is>
          <t>보령길고양이보호협회</t>
        </is>
      </c>
      <c r="E437" s="2" t="inlineStr">
        <is>
          <t>344451202200002</t>
        </is>
      </c>
      <c r="F437" s="3">
        <f>SUM(G437:J437)</f>
        <v/>
      </c>
      <c r="G437" s="3" t="n">
        <v>0</v>
      </c>
      <c r="H437" s="3" t="n">
        <v>2</v>
      </c>
      <c r="I437" s="3" t="n">
        <v>0</v>
      </c>
      <c r="J437" s="3" t="n">
        <v>0</v>
      </c>
      <c r="K437" s="4">
        <f>G437/F437</f>
        <v/>
      </c>
      <c r="L437" s="4">
        <f>H437/F437</f>
        <v/>
      </c>
      <c r="M437" s="4">
        <f>I437/F437</f>
        <v/>
      </c>
      <c r="N437" s="3" t="n">
        <v>0</v>
      </c>
      <c r="O437" s="3" t="n">
        <v>0</v>
      </c>
      <c r="P437" s="2">
        <f>IF(F437&lt;100,"종료 100마리 미만","")</f>
        <v/>
      </c>
    </row>
    <row r="438">
      <c r="A438" s="2">
        <f>RANK(K438,$K$2:$K$454)</f>
        <v/>
      </c>
      <c r="B438" s="2" t="inlineStr">
        <is>
          <t>경상북도</t>
        </is>
      </c>
      <c r="C438" s="2" t="inlineStr">
        <is>
          <t>경상북도 김천시</t>
        </is>
      </c>
      <c r="D438" s="2" t="inlineStr">
        <is>
          <t>김천시동물보호소종료</t>
        </is>
      </c>
      <c r="E438" s="2" t="inlineStr">
        <is>
          <t>347506202400001</t>
        </is>
      </c>
      <c r="F438" s="3">
        <f>SUM(G438:J438)</f>
        <v/>
      </c>
      <c r="G438" s="3" t="n">
        <v>0</v>
      </c>
      <c r="H438" s="3" t="n">
        <v>2</v>
      </c>
      <c r="I438" s="3" t="n">
        <v>0</v>
      </c>
      <c r="J438" s="3" t="n">
        <v>0</v>
      </c>
      <c r="K438" s="4">
        <f>G438/F438</f>
        <v/>
      </c>
      <c r="L438" s="4">
        <f>H438/F438</f>
        <v/>
      </c>
      <c r="M438" s="4">
        <f>I438/F438</f>
        <v/>
      </c>
      <c r="N438" s="3" t="n">
        <v>0</v>
      </c>
      <c r="O438" s="3" t="n">
        <v>0</v>
      </c>
      <c r="P438" s="2">
        <f>IF(F438&lt;100,"종료 100마리 미만","")</f>
        <v/>
      </c>
    </row>
    <row r="439">
      <c r="A439" s="2">
        <f>RANK(K439,$K$2:$K$454)</f>
        <v/>
      </c>
      <c r="B439" s="2" t="inlineStr">
        <is>
          <t>제주특별자치도</t>
        </is>
      </c>
      <c r="C439" s="2" t="inlineStr">
        <is>
          <t>제주특별자치도 제주시</t>
        </is>
      </c>
      <c r="D439" s="2" t="inlineStr">
        <is>
          <t>제주애니시스(주)</t>
        </is>
      </c>
      <c r="E439" s="2" t="inlineStr">
        <is>
          <t>350651202300001</t>
        </is>
      </c>
      <c r="F439" s="3">
        <f>SUM(G439:J439)</f>
        <v/>
      </c>
      <c r="G439" s="3" t="n">
        <v>0</v>
      </c>
      <c r="H439" s="3" t="n">
        <v>2</v>
      </c>
      <c r="I439" s="3" t="n">
        <v>0</v>
      </c>
      <c r="J439" s="3" t="n">
        <v>0</v>
      </c>
      <c r="K439" s="4">
        <f>G439/F439</f>
        <v/>
      </c>
      <c r="L439" s="4">
        <f>H439/F439</f>
        <v/>
      </c>
      <c r="M439" s="4">
        <f>I439/F439</f>
        <v/>
      </c>
      <c r="N439" s="3" t="n">
        <v>0</v>
      </c>
      <c r="O439" s="3" t="n">
        <v>0</v>
      </c>
      <c r="P439" s="2">
        <f>IF(F439&lt;100,"종료 100마리 미만","")</f>
        <v/>
      </c>
    </row>
    <row r="440">
      <c r="A440" s="2">
        <f>RANK(K440,$K$2:$K$454)</f>
        <v/>
      </c>
      <c r="B440" s="2" t="inlineStr">
        <is>
          <t>서울특별시</t>
        </is>
      </c>
      <c r="C440" s="2" t="inlineStr">
        <is>
          <t>서울특별시 광진구</t>
        </is>
      </c>
      <c r="D440" s="2" t="inlineStr">
        <is>
          <t>서울동물복지지원센터</t>
        </is>
      </c>
      <c r="E440" s="2" t="inlineStr">
        <is>
          <t>311304202200002</t>
        </is>
      </c>
      <c r="F440" s="3">
        <f>SUM(G440:J440)</f>
        <v/>
      </c>
      <c r="G440" s="3" t="n">
        <v>0</v>
      </c>
      <c r="H440" s="3" t="n">
        <v>0</v>
      </c>
      <c r="I440" s="3" t="n">
        <v>0</v>
      </c>
      <c r="J440" s="3" t="n">
        <v>1</v>
      </c>
      <c r="K440" s="4">
        <f>G440/F440</f>
        <v/>
      </c>
      <c r="L440" s="4">
        <f>H440/F440</f>
        <v/>
      </c>
      <c r="M440" s="4">
        <f>I440/F440</f>
        <v/>
      </c>
      <c r="N440" s="3" t="n">
        <v>0</v>
      </c>
      <c r="O440" s="3" t="n">
        <v>0</v>
      </c>
      <c r="P440" s="2">
        <f>IF(F440&lt;100,"종료 100마리 미만","")</f>
        <v/>
      </c>
    </row>
    <row r="441">
      <c r="A441" s="2">
        <f>RANK(K441,$K$2:$K$454)</f>
        <v/>
      </c>
      <c r="B441" s="2" t="inlineStr">
        <is>
          <t>서울특별시</t>
        </is>
      </c>
      <c r="C441" s="2" t="inlineStr">
        <is>
          <t>서울특별시 도봉구</t>
        </is>
      </c>
      <c r="D441" s="2" t="inlineStr">
        <is>
          <t>서울동물복지지원센터</t>
        </is>
      </c>
      <c r="E441" s="2" t="inlineStr">
        <is>
          <t>311309202200001</t>
        </is>
      </c>
      <c r="F441" s="3">
        <f>SUM(G441:J441)</f>
        <v/>
      </c>
      <c r="G441" s="3" t="n">
        <v>0</v>
      </c>
      <c r="H441" s="3" t="n">
        <v>0</v>
      </c>
      <c r="I441" s="3" t="n">
        <v>0</v>
      </c>
      <c r="J441" s="3" t="n">
        <v>1</v>
      </c>
      <c r="K441" s="4">
        <f>G441/F441</f>
        <v/>
      </c>
      <c r="L441" s="4">
        <f>H441/F441</f>
        <v/>
      </c>
      <c r="M441" s="4">
        <f>I441/F441</f>
        <v/>
      </c>
      <c r="N441" s="3" t="n">
        <v>0</v>
      </c>
      <c r="O441" s="3" t="n">
        <v>0</v>
      </c>
      <c r="P441" s="2">
        <f>IF(F441&lt;100,"종료 100마리 미만","")</f>
        <v/>
      </c>
    </row>
    <row r="442">
      <c r="A442" s="2">
        <f>RANK(K442,$K$2:$K$454)</f>
        <v/>
      </c>
      <c r="B442" s="2" t="inlineStr">
        <is>
          <t>서울특별시</t>
        </is>
      </c>
      <c r="C442" s="2" t="inlineStr">
        <is>
          <t>서울특별시 노원구</t>
        </is>
      </c>
      <c r="D442" s="2" t="inlineStr">
        <is>
          <t>노원 TNR DAY</t>
        </is>
      </c>
      <c r="E442" s="2" t="inlineStr">
        <is>
          <t>311310201700001</t>
        </is>
      </c>
      <c r="F442" s="3">
        <f>SUM(G442:J442)</f>
        <v/>
      </c>
      <c r="G442" s="3" t="n">
        <v>0</v>
      </c>
      <c r="H442" s="3" t="n">
        <v>0</v>
      </c>
      <c r="I442" s="3" t="n">
        <v>0</v>
      </c>
      <c r="J442" s="3" t="n">
        <v>1</v>
      </c>
      <c r="K442" s="4">
        <f>G442/F442</f>
        <v/>
      </c>
      <c r="L442" s="4">
        <f>H442/F442</f>
        <v/>
      </c>
      <c r="M442" s="4">
        <f>I442/F442</f>
        <v/>
      </c>
      <c r="N442" s="3" t="n">
        <v>0</v>
      </c>
      <c r="O442" s="3" t="n">
        <v>0</v>
      </c>
      <c r="P442" s="2">
        <f>IF(F442&lt;100,"종료 100마리 미만","")</f>
        <v/>
      </c>
    </row>
    <row r="443">
      <c r="A443" s="2">
        <f>RANK(K443,$K$2:$K$454)</f>
        <v/>
      </c>
      <c r="B443" s="2" t="inlineStr">
        <is>
          <t>서울특별시</t>
        </is>
      </c>
      <c r="C443" s="2" t="inlineStr">
        <is>
          <t>서울특별시 마포구</t>
        </is>
      </c>
      <c r="D443" s="2" t="inlineStr">
        <is>
          <t>박창석동물병원</t>
        </is>
      </c>
      <c r="E443" s="2" t="inlineStr">
        <is>
          <t>311313201000006</t>
        </is>
      </c>
      <c r="F443" s="3">
        <f>SUM(G443:J443)</f>
        <v/>
      </c>
      <c r="G443" s="3" t="n">
        <v>0</v>
      </c>
      <c r="H443" s="3" t="n">
        <v>0</v>
      </c>
      <c r="I443" s="3" t="n">
        <v>1</v>
      </c>
      <c r="J443" s="3" t="n">
        <v>0</v>
      </c>
      <c r="K443" s="4">
        <f>G443/F443</f>
        <v/>
      </c>
      <c r="L443" s="4">
        <f>H443/F443</f>
        <v/>
      </c>
      <c r="M443" s="4">
        <f>I443/F443</f>
        <v/>
      </c>
      <c r="N443" s="3" t="n">
        <v>3</v>
      </c>
      <c r="O443" s="3" t="n">
        <v>0</v>
      </c>
      <c r="P443" s="2">
        <f>IF(F443&lt;100,"종료 100마리 미만","")</f>
        <v/>
      </c>
    </row>
    <row r="444">
      <c r="A444" s="2">
        <f>RANK(K444,$K$2:$K$454)</f>
        <v/>
      </c>
      <c r="B444" s="2" t="inlineStr">
        <is>
          <t>부산광역시</t>
        </is>
      </c>
      <c r="C444" s="2" t="inlineStr">
        <is>
          <t>부산광역시 사하구</t>
        </is>
      </c>
      <c r="D444" s="2" t="inlineStr">
        <is>
          <t>유기동물및동물보호협</t>
        </is>
      </c>
      <c r="E444" s="2" t="inlineStr">
        <is>
          <t>326334201600001</t>
        </is>
      </c>
      <c r="F444" s="3">
        <f>SUM(G444:J444)</f>
        <v/>
      </c>
      <c r="G444" s="3" t="n">
        <v>0</v>
      </c>
      <c r="H444" s="3" t="n">
        <v>0</v>
      </c>
      <c r="I444" s="3" t="n">
        <v>1</v>
      </c>
      <c r="J444" s="3" t="n">
        <v>0</v>
      </c>
      <c r="K444" s="4">
        <f>G444/F444</f>
        <v/>
      </c>
      <c r="L444" s="4">
        <f>H444/F444</f>
        <v/>
      </c>
      <c r="M444" s="4">
        <f>I444/F444</f>
        <v/>
      </c>
      <c r="N444" s="3" t="n">
        <v>1</v>
      </c>
      <c r="O444" s="3" t="n">
        <v>0</v>
      </c>
      <c r="P444" s="2">
        <f>IF(F444&lt;100,"종료 100마리 미만","")</f>
        <v/>
      </c>
    </row>
    <row r="445">
      <c r="A445" s="2">
        <f>RANK(K445,$K$2:$K$454)</f>
        <v/>
      </c>
      <c r="B445" s="2" t="inlineStr">
        <is>
          <t>대구광역시</t>
        </is>
      </c>
      <c r="C445" s="2" t="inlineStr">
        <is>
          <t>대구광역시 중구</t>
        </is>
      </c>
      <c r="D445" s="2" t="inlineStr">
        <is>
          <t>대구시수의사회(삼덕)</t>
        </is>
      </c>
      <c r="E445" s="2" t="inlineStr">
        <is>
          <t>327341201200002</t>
        </is>
      </c>
      <c r="F445" s="3">
        <f>SUM(G445:J445)</f>
        <v/>
      </c>
      <c r="G445" s="3" t="n">
        <v>0</v>
      </c>
      <c r="H445" s="3" t="n">
        <v>0</v>
      </c>
      <c r="I445" s="3" t="n">
        <v>1</v>
      </c>
      <c r="J445" s="3" t="n">
        <v>0</v>
      </c>
      <c r="K445" s="4">
        <f>G445/F445</f>
        <v/>
      </c>
      <c r="L445" s="4">
        <f>H445/F445</f>
        <v/>
      </c>
      <c r="M445" s="4">
        <f>I445/F445</f>
        <v/>
      </c>
      <c r="N445" s="3" t="n">
        <v>2</v>
      </c>
      <c r="O445" s="3" t="n">
        <v>0</v>
      </c>
      <c r="P445" s="2">
        <f>IF(F445&lt;100,"종료 100마리 미만","")</f>
        <v/>
      </c>
    </row>
    <row r="446">
      <c r="A446" s="2">
        <f>RANK(K446,$K$2:$K$454)</f>
        <v/>
      </c>
      <c r="B446" s="2" t="inlineStr">
        <is>
          <t>인천광역시</t>
        </is>
      </c>
      <c r="C446" s="2" t="inlineStr">
        <is>
          <t>인천광역시 서해구</t>
        </is>
      </c>
      <c r="D446" s="2" t="inlineStr">
        <is>
          <t>맑은동물의료센터</t>
        </is>
      </c>
      <c r="E446" s="2" t="inlineStr">
        <is>
          <t>328356202600003</t>
        </is>
      </c>
      <c r="F446" s="3">
        <f>SUM(G446:J446)</f>
        <v/>
      </c>
      <c r="G446" s="3" t="n">
        <v>0</v>
      </c>
      <c r="H446" s="3" t="n">
        <v>1</v>
      </c>
      <c r="I446" s="3" t="n">
        <v>0</v>
      </c>
      <c r="J446" s="3" t="n">
        <v>0</v>
      </c>
      <c r="K446" s="4">
        <f>G446/F446</f>
        <v/>
      </c>
      <c r="L446" s="4">
        <f>H446/F446</f>
        <v/>
      </c>
      <c r="M446" s="4">
        <f>I446/F446</f>
        <v/>
      </c>
      <c r="N446" s="3" t="n">
        <v>0</v>
      </c>
      <c r="O446" s="3" t="n">
        <v>0</v>
      </c>
      <c r="P446" s="2">
        <f>IF(F446&lt;100,"종료 100마리 미만","")</f>
        <v/>
      </c>
    </row>
    <row r="447">
      <c r="A447" s="2">
        <f>RANK(K447,$K$2:$K$454)</f>
        <v/>
      </c>
      <c r="B447" s="2" t="inlineStr">
        <is>
          <t>충청남도</t>
        </is>
      </c>
      <c r="C447" s="2" t="inlineStr">
        <is>
          <t>충청남도 서산시</t>
        </is>
      </c>
      <c r="D447" s="2" t="inlineStr">
        <is>
          <t>서산동물병원</t>
        </is>
      </c>
      <c r="E447" s="2" t="inlineStr">
        <is>
          <t>344453202100002</t>
        </is>
      </c>
      <c r="F447" s="3">
        <f>SUM(G447:J447)</f>
        <v/>
      </c>
      <c r="G447" s="3" t="n">
        <v>0</v>
      </c>
      <c r="H447" s="3" t="n">
        <v>0</v>
      </c>
      <c r="I447" s="3" t="n">
        <v>1</v>
      </c>
      <c r="J447" s="3" t="n">
        <v>0</v>
      </c>
      <c r="K447" s="4">
        <f>G447/F447</f>
        <v/>
      </c>
      <c r="L447" s="4">
        <f>H447/F447</f>
        <v/>
      </c>
      <c r="M447" s="4">
        <f>I447/F447</f>
        <v/>
      </c>
      <c r="N447" s="3" t="n">
        <v>0</v>
      </c>
      <c r="O447" s="3" t="n">
        <v>0</v>
      </c>
      <c r="P447" s="2">
        <f>IF(F447&lt;100,"종료 100마리 미만","")</f>
        <v/>
      </c>
    </row>
    <row r="448">
      <c r="A448" s="2">
        <f>RANK(K448,$K$2:$K$454)</f>
        <v/>
      </c>
      <c r="B448" s="2" t="inlineStr">
        <is>
          <t>충청남도</t>
        </is>
      </c>
      <c r="C448" s="2" t="inlineStr">
        <is>
          <t>충청남도 서산시</t>
        </is>
      </c>
      <c r="D448" s="2" t="inlineStr">
        <is>
          <t>로얄동물병원</t>
        </is>
      </c>
      <c r="E448" s="2" t="inlineStr">
        <is>
          <t>344453202200001</t>
        </is>
      </c>
      <c r="F448" s="3">
        <f>SUM(G448:J448)</f>
        <v/>
      </c>
      <c r="G448" s="3" t="n">
        <v>0</v>
      </c>
      <c r="H448" s="3" t="n">
        <v>1</v>
      </c>
      <c r="I448" s="3" t="n">
        <v>0</v>
      </c>
      <c r="J448" s="3" t="n">
        <v>0</v>
      </c>
      <c r="K448" s="4">
        <f>G448/F448</f>
        <v/>
      </c>
      <c r="L448" s="4">
        <f>H448/F448</f>
        <v/>
      </c>
      <c r="M448" s="4">
        <f>I448/F448</f>
        <v/>
      </c>
      <c r="N448" s="3" t="n">
        <v>0</v>
      </c>
      <c r="O448" s="3" t="n">
        <v>0</v>
      </c>
      <c r="P448" s="2">
        <f>IF(F448&lt;100,"종료 100마리 미만","")</f>
        <v/>
      </c>
    </row>
    <row r="449">
      <c r="A449" s="2">
        <f>RANK(K449,$K$2:$K$454)</f>
        <v/>
      </c>
      <c r="B449" s="2" t="inlineStr">
        <is>
          <t>충청남도</t>
        </is>
      </c>
      <c r="C449" s="2" t="inlineStr">
        <is>
          <t>충청남도 서산시</t>
        </is>
      </c>
      <c r="D449" s="2" t="inlineStr">
        <is>
          <t>서산동물병원</t>
        </is>
      </c>
      <c r="E449" s="2" t="inlineStr">
        <is>
          <t>344453202400001</t>
        </is>
      </c>
      <c r="F449" s="3">
        <f>SUM(G449:J449)</f>
        <v/>
      </c>
      <c r="G449" s="3" t="n">
        <v>0</v>
      </c>
      <c r="H449" s="3" t="n">
        <v>1</v>
      </c>
      <c r="I449" s="3" t="n">
        <v>0</v>
      </c>
      <c r="J449" s="3" t="n">
        <v>0</v>
      </c>
      <c r="K449" s="4">
        <f>G449/F449</f>
        <v/>
      </c>
      <c r="L449" s="4">
        <f>H449/F449</f>
        <v/>
      </c>
      <c r="M449" s="4">
        <f>I449/F449</f>
        <v/>
      </c>
      <c r="N449" s="3" t="n">
        <v>0</v>
      </c>
      <c r="O449" s="3" t="n">
        <v>0</v>
      </c>
      <c r="P449" s="2">
        <f>IF(F449&lt;100,"종료 100마리 미만","")</f>
        <v/>
      </c>
    </row>
    <row r="450">
      <c r="A450" s="2">
        <f>RANK(K450,$K$2:$K$454)</f>
        <v/>
      </c>
      <c r="B450" s="2" t="inlineStr">
        <is>
          <t>충청남도</t>
        </is>
      </c>
      <c r="C450" s="2" t="inlineStr">
        <is>
          <t>충청남도 논산시</t>
        </is>
      </c>
      <c r="D450" s="2" t="inlineStr">
        <is>
          <t>유명동물병원</t>
        </is>
      </c>
      <c r="E450" s="2" t="inlineStr">
        <is>
          <t>344454202400001</t>
        </is>
      </c>
      <c r="F450" s="3">
        <f>SUM(G450:J450)</f>
        <v/>
      </c>
      <c r="G450" s="3" t="n">
        <v>0</v>
      </c>
      <c r="H450" s="3" t="n">
        <v>0</v>
      </c>
      <c r="I450" s="3" t="n">
        <v>1</v>
      </c>
      <c r="J450" s="3" t="n">
        <v>0</v>
      </c>
      <c r="K450" s="4">
        <f>G450/F450</f>
        <v/>
      </c>
      <c r="L450" s="4">
        <f>H450/F450</f>
        <v/>
      </c>
      <c r="M450" s="4">
        <f>I450/F450</f>
        <v/>
      </c>
      <c r="N450" s="3" t="n">
        <v>0</v>
      </c>
      <c r="O450" s="3" t="n">
        <v>0</v>
      </c>
      <c r="P450" s="2">
        <f>IF(F450&lt;100,"종료 100마리 미만","")</f>
        <v/>
      </c>
    </row>
    <row r="451">
      <c r="A451" s="2">
        <f>RANK(K451,$K$2:$K$454)</f>
        <v/>
      </c>
      <c r="B451" s="2" t="inlineStr">
        <is>
          <t>전북특별자치도</t>
        </is>
      </c>
      <c r="C451" s="2" t="inlineStr">
        <is>
          <t>전북특별자치도 진안군</t>
        </is>
      </c>
      <c r="D451" s="2" t="inlineStr">
        <is>
          <t>동부종합동물병원</t>
        </is>
      </c>
      <c r="E451" s="2" t="inlineStr">
        <is>
          <t>345473202100001</t>
        </is>
      </c>
      <c r="F451" s="3">
        <f>SUM(G451:J451)</f>
        <v/>
      </c>
      <c r="G451" s="3" t="n">
        <v>0</v>
      </c>
      <c r="H451" s="3" t="n">
        <v>1</v>
      </c>
      <c r="I451" s="3" t="n">
        <v>0</v>
      </c>
      <c r="J451" s="3" t="n">
        <v>0</v>
      </c>
      <c r="K451" s="4">
        <f>G451/F451</f>
        <v/>
      </c>
      <c r="L451" s="4">
        <f>H451/F451</f>
        <v/>
      </c>
      <c r="M451" s="4">
        <f>I451/F451</f>
        <v/>
      </c>
      <c r="N451" s="3" t="n">
        <v>0</v>
      </c>
      <c r="O451" s="3" t="n">
        <v>0</v>
      </c>
      <c r="P451" s="2">
        <f>IF(F451&lt;100,"종료 100마리 미만","")</f>
        <v/>
      </c>
    </row>
    <row r="452">
      <c r="A452" s="2">
        <f>RANK(K452,$K$2:$K$454)</f>
        <v/>
      </c>
      <c r="B452" s="2" t="inlineStr">
        <is>
          <t>전북특별자치도</t>
        </is>
      </c>
      <c r="C452" s="2" t="inlineStr">
        <is>
          <t>전북특별자치도 장수군</t>
        </is>
      </c>
      <c r="D452" s="2" t="inlineStr">
        <is>
          <t xml:space="preserve">문 동물병원 </t>
        </is>
      </c>
      <c r="E452" s="2" t="inlineStr">
        <is>
          <t>345475201600001</t>
        </is>
      </c>
      <c r="F452" s="3">
        <f>SUM(G452:J452)</f>
        <v/>
      </c>
      <c r="G452" s="3" t="n">
        <v>0</v>
      </c>
      <c r="H452" s="3" t="n">
        <v>1</v>
      </c>
      <c r="I452" s="3" t="n">
        <v>0</v>
      </c>
      <c r="J452" s="3" t="n">
        <v>0</v>
      </c>
      <c r="K452" s="4">
        <f>G452/F452</f>
        <v/>
      </c>
      <c r="L452" s="4">
        <f>H452/F452</f>
        <v/>
      </c>
      <c r="M452" s="4">
        <f>I452/F452</f>
        <v/>
      </c>
      <c r="N452" s="3" t="n">
        <v>0</v>
      </c>
      <c r="O452" s="3" t="n">
        <v>0</v>
      </c>
      <c r="P452" s="2">
        <f>IF(F452&lt;100,"종료 100마리 미만","")</f>
        <v/>
      </c>
    </row>
    <row r="453">
      <c r="A453" s="2">
        <f>RANK(K453,$K$2:$K$454)</f>
        <v/>
      </c>
      <c r="B453" s="2" t="inlineStr">
        <is>
          <t>전북특별자치도</t>
        </is>
      </c>
      <c r="C453" s="2" t="inlineStr">
        <is>
          <t>전북특별자치도 장수군</t>
        </is>
      </c>
      <c r="D453" s="2" t="inlineStr">
        <is>
          <t>도담</t>
        </is>
      </c>
      <c r="E453" s="2" t="inlineStr">
        <is>
          <t>345475202200002</t>
        </is>
      </c>
      <c r="F453" s="3">
        <f>SUM(G453:J453)</f>
        <v/>
      </c>
      <c r="G453" s="3" t="n">
        <v>0</v>
      </c>
      <c r="H453" s="3" t="n">
        <v>0</v>
      </c>
      <c r="I453" s="3" t="n">
        <v>1</v>
      </c>
      <c r="J453" s="3" t="n">
        <v>0</v>
      </c>
      <c r="K453" s="4">
        <f>G453/F453</f>
        <v/>
      </c>
      <c r="L453" s="4">
        <f>H453/F453</f>
        <v/>
      </c>
      <c r="M453" s="4">
        <f>I453/F453</f>
        <v/>
      </c>
      <c r="N453" s="3" t="n">
        <v>0</v>
      </c>
      <c r="O453" s="3" t="n">
        <v>1</v>
      </c>
      <c r="P453" s="2">
        <f>IF(F453&lt;100,"종료 100마리 미만","")</f>
        <v/>
      </c>
    </row>
    <row r="454">
      <c r="A454" s="2">
        <f>RANK(K454,$K$2:$K$454)</f>
        <v/>
      </c>
      <c r="B454" s="2" t="inlineStr">
        <is>
          <t>경상북도</t>
        </is>
      </c>
      <c r="C454" s="2" t="inlineStr">
        <is>
          <t>경상북도 청송군</t>
        </is>
      </c>
      <c r="D454" s="2" t="inlineStr">
        <is>
          <t>청송동물병원</t>
        </is>
      </c>
      <c r="E454" s="2" t="inlineStr">
        <is>
          <t>347516202300001</t>
        </is>
      </c>
      <c r="F454" s="3">
        <f>SUM(G454:J454)</f>
        <v/>
      </c>
      <c r="G454" s="3" t="n">
        <v>0</v>
      </c>
      <c r="H454" s="3" t="n">
        <v>1</v>
      </c>
      <c r="I454" s="3" t="n">
        <v>0</v>
      </c>
      <c r="J454" s="3" t="n">
        <v>0</v>
      </c>
      <c r="K454" s="4">
        <f>G454/F454</f>
        <v/>
      </c>
      <c r="L454" s="4">
        <f>H454/F454</f>
        <v/>
      </c>
      <c r="M454" s="4">
        <f>I454/F454</f>
        <v/>
      </c>
      <c r="N454" s="3" t="n">
        <v>0</v>
      </c>
      <c r="O454" s="3" t="n">
        <v>0</v>
      </c>
      <c r="P454" s="2">
        <f>IF(F454&lt;100,"종료 100마리 미만","")</f>
        <v/>
      </c>
    </row>
    <row r="455">
      <c r="A455" s="5" t="inlineStr"/>
      <c r="B455" s="5" t="inlineStr">
        <is>
          <t>전체</t>
        </is>
      </c>
      <c r="C455" s="5" t="inlineStr"/>
      <c r="D455" s="5" t="inlineStr">
        <is>
          <t>453곳</t>
        </is>
      </c>
      <c r="E455" s="5" t="inlineStr"/>
      <c r="F455" s="6">
        <f>SUM(F2:F454)</f>
        <v/>
      </c>
      <c r="G455" s="6">
        <f>SUM(G2:G454)</f>
        <v/>
      </c>
      <c r="H455" s="6">
        <f>SUM(H2:H454)</f>
        <v/>
      </c>
      <c r="I455" s="6">
        <f>SUM(I2:I454)</f>
        <v/>
      </c>
      <c r="J455" s="6">
        <f>SUM(J2:J454)</f>
        <v/>
      </c>
      <c r="K455" s="7">
        <f>G455/F455</f>
        <v/>
      </c>
      <c r="L455" s="7">
        <f>H455/F455</f>
        <v/>
      </c>
      <c r="M455" s="7">
        <f>I455/F455</f>
        <v/>
      </c>
      <c r="N455" s="6">
        <f>SUM(N2:N454)</f>
        <v/>
      </c>
      <c r="O455" s="6">
        <f>SUM(O2:O454)</f>
        <v/>
      </c>
      <c r="P455" s="5" t="inlineStr"/>
    </row>
  </sheetData>
  <autoFilter ref="A1:P4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9" customWidth="1" min="7" max="7"/>
    <col width="9" customWidth="1" min="8" max="8"/>
    <col width="11" customWidth="1" min="9" max="9"/>
  </cols>
  <sheetData>
    <row r="1">
      <c r="A1" s="5" t="inlineStr">
        <is>
          <t>시도</t>
        </is>
      </c>
      <c r="B1" s="5" t="inlineStr">
        <is>
          <t>보호소 수</t>
        </is>
      </c>
      <c r="C1" s="5" t="inlineStr">
        <is>
          <t>보호 종료</t>
        </is>
      </c>
      <c r="D1" s="5" t="inlineStr">
        <is>
          <t>입양</t>
        </is>
      </c>
      <c r="E1" s="5" t="inlineStr">
        <is>
          <t>안락사</t>
        </is>
      </c>
      <c r="F1" s="5" t="inlineStr">
        <is>
          <t>자연사</t>
        </is>
      </c>
      <c r="G1" s="5" t="inlineStr">
        <is>
          <t>기증</t>
        </is>
      </c>
      <c r="H1" s="5" t="inlineStr">
        <is>
          <t>입양률</t>
        </is>
      </c>
      <c r="I1" s="5" t="inlineStr">
        <is>
          <t>안락사 비율</t>
        </is>
      </c>
    </row>
    <row r="2">
      <c r="A2" s="2" t="inlineStr">
        <is>
          <t>대전광역시</t>
        </is>
      </c>
      <c r="B2" s="3">
        <f>COUNTIF(보호소별!$B$2:$B$454,A2)</f>
        <v/>
      </c>
      <c r="C2" s="3">
        <f>SUMIFS(보호소별!$F$2:$F$454,보호소별!$B$2:$B$454,A2)</f>
        <v/>
      </c>
      <c r="D2" s="3">
        <f>SUMIFS(보호소별!$G$2:$G$454,보호소별!$B$2:$B$454,A2)</f>
        <v/>
      </c>
      <c r="E2" s="3">
        <f>SUMIFS(보호소별!$H$2:$H$454,보호소별!$B$2:$B$454,A2)</f>
        <v/>
      </c>
      <c r="F2" s="3">
        <f>SUMIFS(보호소별!$I$2:$I$454,보호소별!$B$2:$B$454,A2)</f>
        <v/>
      </c>
      <c r="G2" s="3">
        <f>SUMIFS(보호소별!$J$2:$J$454,보호소별!$B$2:$B$454,A2)</f>
        <v/>
      </c>
      <c r="H2" s="4">
        <f>D2/C2</f>
        <v/>
      </c>
      <c r="I2" s="4">
        <f>E2/C2</f>
        <v/>
      </c>
    </row>
    <row r="3">
      <c r="A3" s="2" t="inlineStr">
        <is>
          <t>서울특별시</t>
        </is>
      </c>
      <c r="B3" s="3">
        <f>COUNTIF(보호소별!$B$2:$B$454,A3)</f>
        <v/>
      </c>
      <c r="C3" s="3">
        <f>SUMIFS(보호소별!$F$2:$F$454,보호소별!$B$2:$B$454,A3)</f>
        <v/>
      </c>
      <c r="D3" s="3">
        <f>SUMIFS(보호소별!$G$2:$G$454,보호소별!$B$2:$B$454,A3)</f>
        <v/>
      </c>
      <c r="E3" s="3">
        <f>SUMIFS(보호소별!$H$2:$H$454,보호소별!$B$2:$B$454,A3)</f>
        <v/>
      </c>
      <c r="F3" s="3">
        <f>SUMIFS(보호소별!$I$2:$I$454,보호소별!$B$2:$B$454,A3)</f>
        <v/>
      </c>
      <c r="G3" s="3">
        <f>SUMIFS(보호소별!$J$2:$J$454,보호소별!$B$2:$B$454,A3)</f>
        <v/>
      </c>
      <c r="H3" s="4">
        <f>D3/C3</f>
        <v/>
      </c>
      <c r="I3" s="4">
        <f>E3/C3</f>
        <v/>
      </c>
    </row>
    <row r="4">
      <c r="A4" s="2" t="inlineStr">
        <is>
          <t>경상북도</t>
        </is>
      </c>
      <c r="B4" s="3">
        <f>COUNTIF(보호소별!$B$2:$B$454,A4)</f>
        <v/>
      </c>
      <c r="C4" s="3">
        <f>SUMIFS(보호소별!$F$2:$F$454,보호소별!$B$2:$B$454,A4)</f>
        <v/>
      </c>
      <c r="D4" s="3">
        <f>SUMIFS(보호소별!$G$2:$G$454,보호소별!$B$2:$B$454,A4)</f>
        <v/>
      </c>
      <c r="E4" s="3">
        <f>SUMIFS(보호소별!$H$2:$H$454,보호소별!$B$2:$B$454,A4)</f>
        <v/>
      </c>
      <c r="F4" s="3">
        <f>SUMIFS(보호소별!$I$2:$I$454,보호소별!$B$2:$B$454,A4)</f>
        <v/>
      </c>
      <c r="G4" s="3">
        <f>SUMIFS(보호소별!$J$2:$J$454,보호소별!$B$2:$B$454,A4)</f>
        <v/>
      </c>
      <c r="H4" s="4">
        <f>D4/C4</f>
        <v/>
      </c>
      <c r="I4" s="4">
        <f>E4/C4</f>
        <v/>
      </c>
    </row>
    <row r="5">
      <c r="A5" s="2" t="inlineStr">
        <is>
          <t>인천광역시</t>
        </is>
      </c>
      <c r="B5" s="3">
        <f>COUNTIF(보호소별!$B$2:$B$454,A5)</f>
        <v/>
      </c>
      <c r="C5" s="3">
        <f>SUMIFS(보호소별!$F$2:$F$454,보호소별!$B$2:$B$454,A5)</f>
        <v/>
      </c>
      <c r="D5" s="3">
        <f>SUMIFS(보호소별!$G$2:$G$454,보호소별!$B$2:$B$454,A5)</f>
        <v/>
      </c>
      <c r="E5" s="3">
        <f>SUMIFS(보호소별!$H$2:$H$454,보호소별!$B$2:$B$454,A5)</f>
        <v/>
      </c>
      <c r="F5" s="3">
        <f>SUMIFS(보호소별!$I$2:$I$454,보호소별!$B$2:$B$454,A5)</f>
        <v/>
      </c>
      <c r="G5" s="3">
        <f>SUMIFS(보호소별!$J$2:$J$454,보호소별!$B$2:$B$454,A5)</f>
        <v/>
      </c>
      <c r="H5" s="4">
        <f>D5/C5</f>
        <v/>
      </c>
      <c r="I5" s="4">
        <f>E5/C5</f>
        <v/>
      </c>
    </row>
    <row r="6">
      <c r="A6" s="2" t="inlineStr">
        <is>
          <t>전북특별자치도</t>
        </is>
      </c>
      <c r="B6" s="3">
        <f>COUNTIF(보호소별!$B$2:$B$454,A6)</f>
        <v/>
      </c>
      <c r="C6" s="3">
        <f>SUMIFS(보호소별!$F$2:$F$454,보호소별!$B$2:$B$454,A6)</f>
        <v/>
      </c>
      <c r="D6" s="3">
        <f>SUMIFS(보호소별!$G$2:$G$454,보호소별!$B$2:$B$454,A6)</f>
        <v/>
      </c>
      <c r="E6" s="3">
        <f>SUMIFS(보호소별!$H$2:$H$454,보호소별!$B$2:$B$454,A6)</f>
        <v/>
      </c>
      <c r="F6" s="3">
        <f>SUMIFS(보호소별!$I$2:$I$454,보호소별!$B$2:$B$454,A6)</f>
        <v/>
      </c>
      <c r="G6" s="3">
        <f>SUMIFS(보호소별!$J$2:$J$454,보호소별!$B$2:$B$454,A6)</f>
        <v/>
      </c>
      <c r="H6" s="4">
        <f>D6/C6</f>
        <v/>
      </c>
      <c r="I6" s="4">
        <f>E6/C6</f>
        <v/>
      </c>
    </row>
    <row r="7">
      <c r="A7" s="2" t="inlineStr">
        <is>
          <t>대구광역시</t>
        </is>
      </c>
      <c r="B7" s="3">
        <f>COUNTIF(보호소별!$B$2:$B$454,A7)</f>
        <v/>
      </c>
      <c r="C7" s="3">
        <f>SUMIFS(보호소별!$F$2:$F$454,보호소별!$B$2:$B$454,A7)</f>
        <v/>
      </c>
      <c r="D7" s="3">
        <f>SUMIFS(보호소별!$G$2:$G$454,보호소별!$B$2:$B$454,A7)</f>
        <v/>
      </c>
      <c r="E7" s="3">
        <f>SUMIFS(보호소별!$H$2:$H$454,보호소별!$B$2:$B$454,A7)</f>
        <v/>
      </c>
      <c r="F7" s="3">
        <f>SUMIFS(보호소별!$I$2:$I$454,보호소별!$B$2:$B$454,A7)</f>
        <v/>
      </c>
      <c r="G7" s="3">
        <f>SUMIFS(보호소별!$J$2:$J$454,보호소별!$B$2:$B$454,A7)</f>
        <v/>
      </c>
      <c r="H7" s="4">
        <f>D7/C7</f>
        <v/>
      </c>
      <c r="I7" s="4">
        <f>E7/C7</f>
        <v/>
      </c>
    </row>
    <row r="8">
      <c r="A8" s="2" t="inlineStr">
        <is>
          <t>충청북도</t>
        </is>
      </c>
      <c r="B8" s="3">
        <f>COUNTIF(보호소별!$B$2:$B$454,A8)</f>
        <v/>
      </c>
      <c r="C8" s="3">
        <f>SUMIFS(보호소별!$F$2:$F$454,보호소별!$B$2:$B$454,A8)</f>
        <v/>
      </c>
      <c r="D8" s="3">
        <f>SUMIFS(보호소별!$G$2:$G$454,보호소별!$B$2:$B$454,A8)</f>
        <v/>
      </c>
      <c r="E8" s="3">
        <f>SUMIFS(보호소별!$H$2:$H$454,보호소별!$B$2:$B$454,A8)</f>
        <v/>
      </c>
      <c r="F8" s="3">
        <f>SUMIFS(보호소별!$I$2:$I$454,보호소별!$B$2:$B$454,A8)</f>
        <v/>
      </c>
      <c r="G8" s="3">
        <f>SUMIFS(보호소별!$J$2:$J$454,보호소별!$B$2:$B$454,A8)</f>
        <v/>
      </c>
      <c r="H8" s="4">
        <f>D8/C8</f>
        <v/>
      </c>
      <c r="I8" s="4">
        <f>E8/C8</f>
        <v/>
      </c>
    </row>
    <row r="9">
      <c r="A9" s="2" t="inlineStr">
        <is>
          <t>강원특별자치도</t>
        </is>
      </c>
      <c r="B9" s="3">
        <f>COUNTIF(보호소별!$B$2:$B$454,A9)</f>
        <v/>
      </c>
      <c r="C9" s="3">
        <f>SUMIFS(보호소별!$F$2:$F$454,보호소별!$B$2:$B$454,A9)</f>
        <v/>
      </c>
      <c r="D9" s="3">
        <f>SUMIFS(보호소별!$G$2:$G$454,보호소별!$B$2:$B$454,A9)</f>
        <v/>
      </c>
      <c r="E9" s="3">
        <f>SUMIFS(보호소별!$H$2:$H$454,보호소별!$B$2:$B$454,A9)</f>
        <v/>
      </c>
      <c r="F9" s="3">
        <f>SUMIFS(보호소별!$I$2:$I$454,보호소별!$B$2:$B$454,A9)</f>
        <v/>
      </c>
      <c r="G9" s="3">
        <f>SUMIFS(보호소별!$J$2:$J$454,보호소별!$B$2:$B$454,A9)</f>
        <v/>
      </c>
      <c r="H9" s="4">
        <f>D9/C9</f>
        <v/>
      </c>
      <c r="I9" s="4">
        <f>E9/C9</f>
        <v/>
      </c>
    </row>
    <row r="10">
      <c r="A10" s="2" t="inlineStr">
        <is>
          <t>부산광역시</t>
        </is>
      </c>
      <c r="B10" s="3">
        <f>COUNTIF(보호소별!$B$2:$B$454,A10)</f>
        <v/>
      </c>
      <c r="C10" s="3">
        <f>SUMIFS(보호소별!$F$2:$F$454,보호소별!$B$2:$B$454,A10)</f>
        <v/>
      </c>
      <c r="D10" s="3">
        <f>SUMIFS(보호소별!$G$2:$G$454,보호소별!$B$2:$B$454,A10)</f>
        <v/>
      </c>
      <c r="E10" s="3">
        <f>SUMIFS(보호소별!$H$2:$H$454,보호소별!$B$2:$B$454,A10)</f>
        <v/>
      </c>
      <c r="F10" s="3">
        <f>SUMIFS(보호소별!$I$2:$I$454,보호소별!$B$2:$B$454,A10)</f>
        <v/>
      </c>
      <c r="G10" s="3">
        <f>SUMIFS(보호소별!$J$2:$J$454,보호소별!$B$2:$B$454,A10)</f>
        <v/>
      </c>
      <c r="H10" s="4">
        <f>D10/C10</f>
        <v/>
      </c>
      <c r="I10" s="4">
        <f>E10/C10</f>
        <v/>
      </c>
    </row>
    <row r="11">
      <c r="A11" s="2" t="inlineStr">
        <is>
          <t>충청남도</t>
        </is>
      </c>
      <c r="B11" s="3">
        <f>COUNTIF(보호소별!$B$2:$B$454,A11)</f>
        <v/>
      </c>
      <c r="C11" s="3">
        <f>SUMIFS(보호소별!$F$2:$F$454,보호소별!$B$2:$B$454,A11)</f>
        <v/>
      </c>
      <c r="D11" s="3">
        <f>SUMIFS(보호소별!$G$2:$G$454,보호소별!$B$2:$B$454,A11)</f>
        <v/>
      </c>
      <c r="E11" s="3">
        <f>SUMIFS(보호소별!$H$2:$H$454,보호소별!$B$2:$B$454,A11)</f>
        <v/>
      </c>
      <c r="F11" s="3">
        <f>SUMIFS(보호소별!$I$2:$I$454,보호소별!$B$2:$B$454,A11)</f>
        <v/>
      </c>
      <c r="G11" s="3">
        <f>SUMIFS(보호소별!$J$2:$J$454,보호소별!$B$2:$B$454,A11)</f>
        <v/>
      </c>
      <c r="H11" s="4">
        <f>D11/C11</f>
        <v/>
      </c>
      <c r="I11" s="4">
        <f>E11/C11</f>
        <v/>
      </c>
    </row>
    <row r="12">
      <c r="A12" s="2" t="inlineStr">
        <is>
          <t>세종특별자치시</t>
        </is>
      </c>
      <c r="B12" s="3">
        <f>COUNTIF(보호소별!$B$2:$B$454,A12)</f>
        <v/>
      </c>
      <c r="C12" s="3">
        <f>SUMIFS(보호소별!$F$2:$F$454,보호소별!$B$2:$B$454,A12)</f>
        <v/>
      </c>
      <c r="D12" s="3">
        <f>SUMIFS(보호소별!$G$2:$G$454,보호소별!$B$2:$B$454,A12)</f>
        <v/>
      </c>
      <c r="E12" s="3">
        <f>SUMIFS(보호소별!$H$2:$H$454,보호소별!$B$2:$B$454,A12)</f>
        <v/>
      </c>
      <c r="F12" s="3">
        <f>SUMIFS(보호소별!$I$2:$I$454,보호소별!$B$2:$B$454,A12)</f>
        <v/>
      </c>
      <c r="G12" s="3">
        <f>SUMIFS(보호소별!$J$2:$J$454,보호소별!$B$2:$B$454,A12)</f>
        <v/>
      </c>
      <c r="H12" s="4">
        <f>D12/C12</f>
        <v/>
      </c>
      <c r="I12" s="4">
        <f>E12/C12</f>
        <v/>
      </c>
    </row>
    <row r="13">
      <c r="A13" s="2" t="inlineStr">
        <is>
          <t>경상남도</t>
        </is>
      </c>
      <c r="B13" s="3">
        <f>COUNTIF(보호소별!$B$2:$B$454,A13)</f>
        <v/>
      </c>
      <c r="C13" s="3">
        <f>SUMIFS(보호소별!$F$2:$F$454,보호소별!$B$2:$B$454,A13)</f>
        <v/>
      </c>
      <c r="D13" s="3">
        <f>SUMIFS(보호소별!$G$2:$G$454,보호소별!$B$2:$B$454,A13)</f>
        <v/>
      </c>
      <c r="E13" s="3">
        <f>SUMIFS(보호소별!$H$2:$H$454,보호소별!$B$2:$B$454,A13)</f>
        <v/>
      </c>
      <c r="F13" s="3">
        <f>SUMIFS(보호소별!$I$2:$I$454,보호소별!$B$2:$B$454,A13)</f>
        <v/>
      </c>
      <c r="G13" s="3">
        <f>SUMIFS(보호소별!$J$2:$J$454,보호소별!$B$2:$B$454,A13)</f>
        <v/>
      </c>
      <c r="H13" s="4">
        <f>D13/C13</f>
        <v/>
      </c>
      <c r="I13" s="4">
        <f>E13/C13</f>
        <v/>
      </c>
    </row>
    <row r="14">
      <c r="A14" s="2" t="inlineStr">
        <is>
          <t>경기도</t>
        </is>
      </c>
      <c r="B14" s="3">
        <f>COUNTIF(보호소별!$B$2:$B$454,A14)</f>
        <v/>
      </c>
      <c r="C14" s="3">
        <f>SUMIFS(보호소별!$F$2:$F$454,보호소별!$B$2:$B$454,A14)</f>
        <v/>
      </c>
      <c r="D14" s="3">
        <f>SUMIFS(보호소별!$G$2:$G$454,보호소별!$B$2:$B$454,A14)</f>
        <v/>
      </c>
      <c r="E14" s="3">
        <f>SUMIFS(보호소별!$H$2:$H$454,보호소별!$B$2:$B$454,A14)</f>
        <v/>
      </c>
      <c r="F14" s="3">
        <f>SUMIFS(보호소별!$I$2:$I$454,보호소별!$B$2:$B$454,A14)</f>
        <v/>
      </c>
      <c r="G14" s="3">
        <f>SUMIFS(보호소별!$J$2:$J$454,보호소별!$B$2:$B$454,A14)</f>
        <v/>
      </c>
      <c r="H14" s="4">
        <f>D14/C14</f>
        <v/>
      </c>
      <c r="I14" s="4">
        <f>E14/C14</f>
        <v/>
      </c>
    </row>
    <row r="15">
      <c r="A15" s="2" t="inlineStr">
        <is>
          <t>전남광주통합특별시</t>
        </is>
      </c>
      <c r="B15" s="3">
        <f>COUNTIF(보호소별!$B$2:$B$454,A15)</f>
        <v/>
      </c>
      <c r="C15" s="3">
        <f>SUMIFS(보호소별!$F$2:$F$454,보호소별!$B$2:$B$454,A15)</f>
        <v/>
      </c>
      <c r="D15" s="3">
        <f>SUMIFS(보호소별!$G$2:$G$454,보호소별!$B$2:$B$454,A15)</f>
        <v/>
      </c>
      <c r="E15" s="3">
        <f>SUMIFS(보호소별!$H$2:$H$454,보호소별!$B$2:$B$454,A15)</f>
        <v/>
      </c>
      <c r="F15" s="3">
        <f>SUMIFS(보호소별!$I$2:$I$454,보호소별!$B$2:$B$454,A15)</f>
        <v/>
      </c>
      <c r="G15" s="3">
        <f>SUMIFS(보호소별!$J$2:$J$454,보호소별!$B$2:$B$454,A15)</f>
        <v/>
      </c>
      <c r="H15" s="4">
        <f>D15/C15</f>
        <v/>
      </c>
      <c r="I15" s="4">
        <f>E15/C15</f>
        <v/>
      </c>
    </row>
    <row r="16">
      <c r="A16" s="2" t="inlineStr">
        <is>
          <t>울산광역시</t>
        </is>
      </c>
      <c r="B16" s="3">
        <f>COUNTIF(보호소별!$B$2:$B$454,A16)</f>
        <v/>
      </c>
      <c r="C16" s="3">
        <f>SUMIFS(보호소별!$F$2:$F$454,보호소별!$B$2:$B$454,A16)</f>
        <v/>
      </c>
      <c r="D16" s="3">
        <f>SUMIFS(보호소별!$G$2:$G$454,보호소별!$B$2:$B$454,A16)</f>
        <v/>
      </c>
      <c r="E16" s="3">
        <f>SUMIFS(보호소별!$H$2:$H$454,보호소별!$B$2:$B$454,A16)</f>
        <v/>
      </c>
      <c r="F16" s="3">
        <f>SUMIFS(보호소별!$I$2:$I$454,보호소별!$B$2:$B$454,A16)</f>
        <v/>
      </c>
      <c r="G16" s="3">
        <f>SUMIFS(보호소별!$J$2:$J$454,보호소별!$B$2:$B$454,A16)</f>
        <v/>
      </c>
      <c r="H16" s="4">
        <f>D16/C16</f>
        <v/>
      </c>
      <c r="I16" s="4">
        <f>E16/C16</f>
        <v/>
      </c>
    </row>
    <row r="17">
      <c r="A17" s="2" t="inlineStr">
        <is>
          <t>제주특별자치도</t>
        </is>
      </c>
      <c r="B17" s="3">
        <f>COUNTIF(보호소별!$B$2:$B$454,A17)</f>
        <v/>
      </c>
      <c r="C17" s="3">
        <f>SUMIFS(보호소별!$F$2:$F$454,보호소별!$B$2:$B$454,A17)</f>
        <v/>
      </c>
      <c r="D17" s="3">
        <f>SUMIFS(보호소별!$G$2:$G$454,보호소별!$B$2:$B$454,A17)</f>
        <v/>
      </c>
      <c r="E17" s="3">
        <f>SUMIFS(보호소별!$H$2:$H$454,보호소별!$B$2:$B$454,A17)</f>
        <v/>
      </c>
      <c r="F17" s="3">
        <f>SUMIFS(보호소별!$I$2:$I$454,보호소별!$B$2:$B$454,A17)</f>
        <v/>
      </c>
      <c r="G17" s="3">
        <f>SUMIFS(보호소별!$J$2:$J$454,보호소별!$B$2:$B$454,A17)</f>
        <v/>
      </c>
      <c r="H17" s="4">
        <f>D17/C17</f>
        <v/>
      </c>
      <c r="I17" s="4">
        <f>E17/C17</f>
        <v/>
      </c>
    </row>
    <row r="18">
      <c r="A18" s="5" t="inlineStr">
        <is>
          <t>전체</t>
        </is>
      </c>
      <c r="B18" s="6">
        <f>SUM(B2:B17)</f>
        <v/>
      </c>
      <c r="C18" s="6">
        <f>SUM(C2:C17)</f>
        <v/>
      </c>
      <c r="D18" s="6">
        <f>SUM(D2:D17)</f>
        <v/>
      </c>
      <c r="E18" s="6">
        <f>SUM(E2:E17)</f>
        <v/>
      </c>
      <c r="F18" s="6">
        <f>SUM(F2:F17)</f>
        <v/>
      </c>
      <c r="G18" s="6">
        <f>SUM(G2:G17)</f>
        <v/>
      </c>
      <c r="H18" s="7">
        <f>D18/C18</f>
        <v/>
      </c>
      <c r="I18" s="7">
        <f>E18/C18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8" t="inlineStr">
        <is>
          <t>항목</t>
        </is>
      </c>
      <c r="B1" s="8" t="inlineStr">
        <is>
          <t>내용</t>
        </is>
      </c>
    </row>
    <row r="2">
      <c r="A2" s="9" t="inlineStr">
        <is>
          <t>자료</t>
        </is>
      </c>
      <c r="B2" s="9" t="inlineStr">
        <is>
          <t>국가동물보호정보시스템 구조동물 조회 서비스(공공데이터포털, data.go.kr/data/15098931), 2026-10-19 수집, 개만</t>
        </is>
      </c>
    </row>
    <row r="3">
      <c r="A3" s="9" t="inlineStr">
        <is>
          <t>기간</t>
        </is>
      </c>
      <c r="B3" s="9" t="inlineStr">
        <is>
          <t>발견(접수)일 2021-01-01 ~ 2025-12-31. 2026년 접수분은 보호 중인 개가 많아 제외(연구 분석 기간과 같음)</t>
        </is>
      </c>
    </row>
    <row r="4">
      <c r="A4" s="9" t="inlineStr">
        <is>
          <t>보호소 구분</t>
        </is>
      </c>
      <c r="B4" s="9" t="inlineStr">
        <is>
          <t>보호소 등록번호 기준. 같은 이름이 여러 등록번호에 쓰인 경우가 있어 등록번호를 함께 표시. 이름·관할은 그 등록번호에서 가장 많이 쓰인 값</t>
        </is>
      </c>
    </row>
    <row r="5">
      <c r="A5" s="9" t="inlineStr">
        <is>
          <t>입양률</t>
        </is>
      </c>
      <c r="B5" s="9" t="inlineStr">
        <is>
          <t>입양 ÷ (입양+안락사+자연사+기증). 연구 모델의 정답 정의와 같음. 반환(주인에게 돌아감)·보호중은 분모에서 빼고 참고 열에만 표시</t>
        </is>
      </c>
    </row>
    <row r="6">
      <c r="A6" s="9" t="inlineStr">
        <is>
          <t>제외</t>
        </is>
      </c>
      <c r="B6" s="9" t="inlineStr">
        <is>
          <t>보호가 끝난 개(입양·안락사·자연사·기증)가 한 마리도 없는 등록번호 8곳은 표에서 뺐다</t>
        </is>
      </c>
    </row>
    <row r="7">
      <c r="A7" s="9" t="inlineStr">
        <is>
          <t>주의</t>
        </is>
      </c>
      <c r="B7" s="9" t="inlineStr">
        <is>
          <t>보호 종료 100마리 미만인 보호소는 입양률이 우연에 크게 흔들린다(비고 열 표시). 순위 비교는 100마리 이상만 권장</t>
        </is>
      </c>
    </row>
    <row r="8">
      <c r="A8" s="9" t="inlineStr">
        <is>
          <t>주의</t>
        </is>
      </c>
      <c r="B8" s="9" t="inlineStr">
        <is>
          <t>입양률 차이는 보호소 운영(안락사 시점, 공간, 홍보)과 들어오는 개의 특성(품종, 건강) 차이가 섞인 결과이며, 보호소의 노력만을 뜻하지 않는다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2026-10-20T08:24:02Z</dcterms:created>
  <dcterms:modified xsi:type="dcterms:W3CDTF">2026-10-20T08:24:02Z</dcterms:modified>
</cp:coreProperties>
</file>